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riti/Downloads/Files/"/>
    </mc:Choice>
  </mc:AlternateContent>
  <xr:revisionPtr revIDLastSave="0" documentId="13_ncr:1_{95425059-FEDA-C54F-B902-82886FB8A6C6}" xr6:coauthVersionLast="47" xr6:coauthVersionMax="47" xr10:uidLastSave="{00000000-0000-0000-0000-000000000000}"/>
  <bookViews>
    <workbookView xWindow="5100" yWindow="3700" windowWidth="26840" windowHeight="15940" xr2:uid="{68E122E0-3B9B-EC4D-9DD7-345E1530DA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9" i="1" l="1"/>
  <c r="H169" i="1"/>
  <c r="M168" i="1"/>
  <c r="H168" i="1"/>
  <c r="M167" i="1"/>
  <c r="H167" i="1"/>
  <c r="M166" i="1"/>
  <c r="H166" i="1"/>
  <c r="M165" i="1"/>
  <c r="H165" i="1"/>
  <c r="M164" i="1"/>
  <c r="H164" i="1"/>
  <c r="M163" i="1"/>
  <c r="H163" i="1"/>
  <c r="M162" i="1"/>
  <c r="H162" i="1"/>
  <c r="M161" i="1"/>
  <c r="H161" i="1"/>
  <c r="M160" i="1"/>
  <c r="H160" i="1"/>
  <c r="M159" i="1"/>
  <c r="H159" i="1"/>
  <c r="M158" i="1"/>
  <c r="H158" i="1"/>
  <c r="M157" i="1"/>
  <c r="H157" i="1"/>
  <c r="M156" i="1"/>
  <c r="H156" i="1"/>
  <c r="M155" i="1"/>
  <c r="H155" i="1"/>
  <c r="M154" i="1"/>
  <c r="H154" i="1"/>
  <c r="M153" i="1"/>
  <c r="H153" i="1"/>
  <c r="M152" i="1"/>
  <c r="H152" i="1"/>
  <c r="M151" i="1"/>
  <c r="H151" i="1"/>
  <c r="M150" i="1"/>
  <c r="H150" i="1"/>
  <c r="M149" i="1"/>
  <c r="H149" i="1"/>
  <c r="M148" i="1"/>
  <c r="H148" i="1"/>
  <c r="M147" i="1"/>
  <c r="H147" i="1"/>
  <c r="M146" i="1"/>
  <c r="H146" i="1"/>
  <c r="M145" i="1"/>
  <c r="H145" i="1"/>
  <c r="M144" i="1"/>
  <c r="H144" i="1"/>
  <c r="M143" i="1"/>
  <c r="H143" i="1"/>
  <c r="M142" i="1"/>
  <c r="H142" i="1"/>
  <c r="M141" i="1"/>
  <c r="H141" i="1"/>
  <c r="M140" i="1"/>
  <c r="H140" i="1"/>
  <c r="M139" i="1"/>
  <c r="H139" i="1"/>
  <c r="M138" i="1"/>
  <c r="H138" i="1"/>
  <c r="M137" i="1"/>
  <c r="H137" i="1"/>
  <c r="M136" i="1"/>
  <c r="H136" i="1"/>
  <c r="M135" i="1"/>
  <c r="H135" i="1"/>
  <c r="M134" i="1"/>
  <c r="H134" i="1"/>
  <c r="M133" i="1"/>
  <c r="H133" i="1"/>
  <c r="M132" i="1"/>
  <c r="H132" i="1"/>
  <c r="M131" i="1"/>
  <c r="H131" i="1"/>
  <c r="M130" i="1"/>
  <c r="H130" i="1"/>
  <c r="M129" i="1"/>
  <c r="H129" i="1"/>
  <c r="M128" i="1"/>
  <c r="H128" i="1"/>
  <c r="M127" i="1"/>
  <c r="H127" i="1"/>
  <c r="M126" i="1"/>
  <c r="H126" i="1"/>
  <c r="M125" i="1"/>
  <c r="H125" i="1"/>
  <c r="M124" i="1"/>
  <c r="H124" i="1"/>
  <c r="M123" i="1"/>
  <c r="H123" i="1"/>
  <c r="M122" i="1"/>
  <c r="H122" i="1"/>
  <c r="M121" i="1"/>
  <c r="H121" i="1"/>
  <c r="M120" i="1"/>
  <c r="H120" i="1"/>
  <c r="M119" i="1"/>
  <c r="H119" i="1"/>
  <c r="M118" i="1"/>
  <c r="H118" i="1"/>
  <c r="M117" i="1"/>
  <c r="H117" i="1"/>
  <c r="M116" i="1"/>
  <c r="H116" i="1"/>
  <c r="M115" i="1"/>
  <c r="H115" i="1"/>
  <c r="M114" i="1"/>
  <c r="H114" i="1"/>
  <c r="M113" i="1"/>
  <c r="H113" i="1"/>
  <c r="M112" i="1"/>
  <c r="H112" i="1"/>
  <c r="M111" i="1"/>
  <c r="H111" i="1"/>
  <c r="M110" i="1"/>
  <c r="H110" i="1"/>
  <c r="M109" i="1"/>
  <c r="H109" i="1"/>
  <c r="M108" i="1"/>
  <c r="H108" i="1"/>
  <c r="M107" i="1"/>
  <c r="H107" i="1"/>
  <c r="M106" i="1"/>
  <c r="H106" i="1"/>
  <c r="M105" i="1"/>
  <c r="H105" i="1"/>
  <c r="M104" i="1"/>
  <c r="H104" i="1"/>
  <c r="M103" i="1"/>
  <c r="H103" i="1"/>
  <c r="M102" i="1"/>
  <c r="H102" i="1"/>
  <c r="M101" i="1"/>
  <c r="H101" i="1"/>
  <c r="M100" i="1"/>
  <c r="H100" i="1"/>
  <c r="M99" i="1"/>
  <c r="H99" i="1"/>
  <c r="M98" i="1"/>
  <c r="H98" i="1"/>
  <c r="M97" i="1"/>
  <c r="H97" i="1"/>
  <c r="M96" i="1"/>
  <c r="H96" i="1"/>
  <c r="M95" i="1"/>
  <c r="H95" i="1"/>
  <c r="M94" i="1"/>
  <c r="H94" i="1"/>
  <c r="M93" i="1"/>
  <c r="H93" i="1"/>
  <c r="M92" i="1"/>
  <c r="H92" i="1"/>
  <c r="M91" i="1"/>
  <c r="H91" i="1"/>
  <c r="M90" i="1"/>
  <c r="H90" i="1"/>
  <c r="M89" i="1"/>
  <c r="H89" i="1"/>
  <c r="M88" i="1"/>
  <c r="H88" i="1"/>
  <c r="M87" i="1"/>
  <c r="H87" i="1"/>
  <c r="M86" i="1"/>
  <c r="H86" i="1"/>
  <c r="M85" i="1"/>
  <c r="H85" i="1"/>
  <c r="M84" i="1"/>
  <c r="H84" i="1"/>
  <c r="M83" i="1"/>
  <c r="H83" i="1"/>
  <c r="M82" i="1"/>
  <c r="H82" i="1"/>
  <c r="M81" i="1"/>
  <c r="H81" i="1"/>
  <c r="M80" i="1"/>
  <c r="H80" i="1"/>
  <c r="M79" i="1"/>
  <c r="H79" i="1"/>
  <c r="M78" i="1"/>
  <c r="H78" i="1"/>
  <c r="M77" i="1"/>
  <c r="H77" i="1"/>
  <c r="M76" i="1"/>
  <c r="H76" i="1"/>
  <c r="M75" i="1"/>
  <c r="H75" i="1"/>
  <c r="M74" i="1"/>
  <c r="H74" i="1"/>
  <c r="M73" i="1"/>
  <c r="H73" i="1"/>
  <c r="M72" i="1"/>
  <c r="H72" i="1"/>
  <c r="M71" i="1"/>
  <c r="H71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M30" i="1"/>
  <c r="H30" i="1"/>
  <c r="M29" i="1"/>
  <c r="H29" i="1"/>
  <c r="M28" i="1"/>
  <c r="H28" i="1"/>
  <c r="M27" i="1"/>
  <c r="H27" i="1"/>
  <c r="M26" i="1"/>
  <c r="H26" i="1"/>
  <c r="M25" i="1"/>
  <c r="H25" i="1"/>
  <c r="M24" i="1"/>
  <c r="H24" i="1"/>
  <c r="M23" i="1"/>
  <c r="H23" i="1"/>
  <c r="M22" i="1"/>
  <c r="H22" i="1"/>
  <c r="M21" i="1"/>
  <c r="H21" i="1"/>
  <c r="M20" i="1"/>
  <c r="H20" i="1"/>
  <c r="M19" i="1"/>
  <c r="H19" i="1"/>
  <c r="M18" i="1"/>
  <c r="H18" i="1"/>
  <c r="M17" i="1"/>
  <c r="H17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M6" i="1"/>
  <c r="H6" i="1"/>
</calcChain>
</file>

<file path=xl/sharedStrings.xml><?xml version="1.0" encoding="utf-8"?>
<sst xmlns="http://schemas.openxmlformats.org/spreadsheetml/2006/main" count="506" uniqueCount="502">
  <si>
    <t>Table S17. Editing efficiencies of single Cas9 mutants, related to Figure 6.</t>
  </si>
  <si>
    <t>Summary of mutants and corresponding editing efficiencies used to generate Figure 6D</t>
  </si>
  <si>
    <t>RNF2</t>
  </si>
  <si>
    <t>PCSK9</t>
  </si>
  <si>
    <t>Editor ID</t>
  </si>
  <si>
    <t>Mutation</t>
  </si>
  <si>
    <t>Well ID</t>
  </si>
  <si>
    <t>Rep1</t>
  </si>
  <si>
    <t>Rep2</t>
  </si>
  <si>
    <t>Rep3</t>
  </si>
  <si>
    <t>Mean</t>
  </si>
  <si>
    <t>Casplate2_Editor1</t>
  </si>
  <si>
    <t>K775E</t>
  </si>
  <si>
    <t>Plate2_B2</t>
  </si>
  <si>
    <t>Casplate2_Editor2</t>
  </si>
  <si>
    <t>K775R</t>
  </si>
  <si>
    <t>Plate2_B3</t>
  </si>
  <si>
    <t>Casplate2_Editor3</t>
  </si>
  <si>
    <t>K789E</t>
  </si>
  <si>
    <t>Plate2_B4</t>
  </si>
  <si>
    <t>Casplate2_Editor4</t>
  </si>
  <si>
    <t>I632V</t>
  </si>
  <si>
    <t>Plate2_B5</t>
  </si>
  <si>
    <t>Casplate2_Editor5</t>
  </si>
  <si>
    <t>M694T</t>
  </si>
  <si>
    <t>Plate2_B6</t>
  </si>
  <si>
    <t>Casplate2_Editor6</t>
  </si>
  <si>
    <t>K528E</t>
  </si>
  <si>
    <t>Plate2_B7</t>
  </si>
  <si>
    <t>Casplate2_Editor7</t>
  </si>
  <si>
    <t>K562N</t>
  </si>
  <si>
    <t>Plate2_B8</t>
  </si>
  <si>
    <t>Casplate2_Editor8</t>
  </si>
  <si>
    <t>M495T</t>
  </si>
  <si>
    <t>Plate2_B9</t>
  </si>
  <si>
    <t>Casplate2_Editor9</t>
  </si>
  <si>
    <t>M781I</t>
  </si>
  <si>
    <t>Plate2_B10</t>
  </si>
  <si>
    <t>Casplate2_Editor10</t>
  </si>
  <si>
    <t>M781L</t>
  </si>
  <si>
    <t>Plate2_B11</t>
  </si>
  <si>
    <t>Casplate2_Editor11</t>
  </si>
  <si>
    <t>R753G</t>
  </si>
  <si>
    <t>Plate2_C2</t>
  </si>
  <si>
    <t>Casplate2_Editor12</t>
  </si>
  <si>
    <t>N497H</t>
  </si>
  <si>
    <t>Plate2_C3</t>
  </si>
  <si>
    <t>Casplate2_Editor13</t>
  </si>
  <si>
    <t>R753W</t>
  </si>
  <si>
    <t>Plate2_C4</t>
  </si>
  <si>
    <t>Casplate2_Editor14</t>
  </si>
  <si>
    <t>R778Q</t>
  </si>
  <si>
    <t>Plate2_C5</t>
  </si>
  <si>
    <t>Casplate2_Editor15</t>
  </si>
  <si>
    <t>S701R</t>
  </si>
  <si>
    <t>Plate2_C6</t>
  </si>
  <si>
    <t>Casplate2_Editor16</t>
  </si>
  <si>
    <t>R535Q</t>
  </si>
  <si>
    <t>Plate2_C7</t>
  </si>
  <si>
    <t>Casplate2_Editor17</t>
  </si>
  <si>
    <t>R586K</t>
  </si>
  <si>
    <t>Plate2_C8</t>
  </si>
  <si>
    <t>Casplate2_Editor18</t>
  </si>
  <si>
    <t>R653H</t>
  </si>
  <si>
    <t>Plate2_C9</t>
  </si>
  <si>
    <t>Casplate2_Editor19</t>
  </si>
  <si>
    <t>T740A</t>
  </si>
  <si>
    <t>Plate2_C10</t>
  </si>
  <si>
    <t>Casplate2_Editor20</t>
  </si>
  <si>
    <t>T769P</t>
  </si>
  <si>
    <t>Plate2_C11</t>
  </si>
  <si>
    <t>Casplate2_Editor21</t>
  </si>
  <si>
    <t>H721W</t>
  </si>
  <si>
    <t>Plate2_D2</t>
  </si>
  <si>
    <t>Casplate2_Editor22</t>
  </si>
  <si>
    <t>K775A</t>
  </si>
  <si>
    <t>Plate2_D3</t>
  </si>
  <si>
    <t>Casplate2_Editor23</t>
  </si>
  <si>
    <t>K775N</t>
  </si>
  <si>
    <t>Plate2_D4</t>
  </si>
  <si>
    <t>Casplate2_Editor24</t>
  </si>
  <si>
    <t>K775S</t>
  </si>
  <si>
    <t>Plate2_D5</t>
  </si>
  <si>
    <t>Casplate2_Editor25</t>
  </si>
  <si>
    <t>N776A</t>
  </si>
  <si>
    <t>Plate2_D6</t>
  </si>
  <si>
    <t>Casplate2_Editor26</t>
  </si>
  <si>
    <t>N776S</t>
  </si>
  <si>
    <t>Plate2_D7</t>
  </si>
  <si>
    <t>Casplate2_Editor27</t>
  </si>
  <si>
    <t>R753A</t>
  </si>
  <si>
    <t>Plate2_D8</t>
  </si>
  <si>
    <t>Casplate2_Editor28</t>
  </si>
  <si>
    <t>R753H</t>
  </si>
  <si>
    <t>Plate2_D9</t>
  </si>
  <si>
    <t>Casplate2_Editor29</t>
  </si>
  <si>
    <t>R753K</t>
  </si>
  <si>
    <t>Plate2_D10</t>
  </si>
  <si>
    <t>Casplate2_Editor30</t>
  </si>
  <si>
    <t>R753M</t>
  </si>
  <si>
    <t>Plate2_D11</t>
  </si>
  <si>
    <t>Casplate2_Editor31</t>
  </si>
  <si>
    <t>R753S</t>
  </si>
  <si>
    <t>Plate2_E2</t>
  </si>
  <si>
    <t>Casplate2_Editor32</t>
  </si>
  <si>
    <t>R753Y</t>
  </si>
  <si>
    <t>Plate2_E3</t>
  </si>
  <si>
    <t>Casplate2_Editor33</t>
  </si>
  <si>
    <t>H721F</t>
  </si>
  <si>
    <t>Plate2_E4</t>
  </si>
  <si>
    <t>Casplate2_Editor34</t>
  </si>
  <si>
    <t>H721R</t>
  </si>
  <si>
    <t>Plate2_E5</t>
  </si>
  <si>
    <t>Casplate2_Editor35</t>
  </si>
  <si>
    <t>T769A</t>
  </si>
  <si>
    <t>Plate2_E6</t>
  </si>
  <si>
    <t>Casplate2_Editor36</t>
  </si>
  <si>
    <t>D947G</t>
  </si>
  <si>
    <t>Plate2_E7</t>
  </si>
  <si>
    <t>Casplate2_Editor37</t>
  </si>
  <si>
    <t>F1008L</t>
  </si>
  <si>
    <t>Plate2_E8</t>
  </si>
  <si>
    <t>Casplate2_Editor38</t>
  </si>
  <si>
    <t>G1030D</t>
  </si>
  <si>
    <t>Plate2_E9</t>
  </si>
  <si>
    <t>Casplate2_Editor39</t>
  </si>
  <si>
    <t>K918N</t>
  </si>
  <si>
    <t>Plate2_E10</t>
  </si>
  <si>
    <t>Casplate2_Editor40</t>
  </si>
  <si>
    <t>K1003E</t>
  </si>
  <si>
    <t>Plate2_E11</t>
  </si>
  <si>
    <t>Casplate2_Editor41</t>
  </si>
  <si>
    <t>K1020E</t>
  </si>
  <si>
    <t>Plate2_F2</t>
  </si>
  <si>
    <t>Casplate2_Editor42</t>
  </si>
  <si>
    <t>L962S</t>
  </si>
  <si>
    <t>Plate2_F3</t>
  </si>
  <si>
    <t>Casplate2_Editor43</t>
  </si>
  <si>
    <t>L962V</t>
  </si>
  <si>
    <t>Plate2_F4</t>
  </si>
  <si>
    <t>Casplate2_Editor44</t>
  </si>
  <si>
    <t>M1021L</t>
  </si>
  <si>
    <t>Plate2_F5</t>
  </si>
  <si>
    <t>Casplate2_Editor45</t>
  </si>
  <si>
    <t>R895K</t>
  </si>
  <si>
    <t>Plate2_F6</t>
  </si>
  <si>
    <t>Casplate2_Editor46</t>
  </si>
  <si>
    <t>R1019C</t>
  </si>
  <si>
    <t>Plate2_F7</t>
  </si>
  <si>
    <t>Casplate2_Editor47</t>
  </si>
  <si>
    <t>S937G</t>
  </si>
  <si>
    <t>Plate2_F8</t>
  </si>
  <si>
    <t>Casplate2_Editor48</t>
  </si>
  <si>
    <t>T928A</t>
  </si>
  <si>
    <t>Plate2_F9</t>
  </si>
  <si>
    <t>Casplate2_Editor49</t>
  </si>
  <si>
    <t>T928I</t>
  </si>
  <si>
    <t>Plate2_F10</t>
  </si>
  <si>
    <t>Casplate2_Editor50</t>
  </si>
  <si>
    <t>V1018I</t>
  </si>
  <si>
    <t>Plate2_F11</t>
  </si>
  <si>
    <t>Casplate2_Editor51</t>
  </si>
  <si>
    <t>A1215T</t>
  </si>
  <si>
    <t>Plate2_G2</t>
  </si>
  <si>
    <t>Casplate2_Editor52</t>
  </si>
  <si>
    <t>A1283T</t>
  </si>
  <si>
    <t>Plate2_G3</t>
  </si>
  <si>
    <t>Casplate2_Editor53</t>
  </si>
  <si>
    <t>A1293T</t>
  </si>
  <si>
    <t>Plate2_G4</t>
  </si>
  <si>
    <t>Casplate2_Editor54</t>
  </si>
  <si>
    <t>A1320S</t>
  </si>
  <si>
    <t>Plate2_G5</t>
  </si>
  <si>
    <t>Casplate2_Editor55</t>
  </si>
  <si>
    <t>A1320T</t>
  </si>
  <si>
    <t>Plate2_G6</t>
  </si>
  <si>
    <t>Casplate2_Editor56</t>
  </si>
  <si>
    <t>A1320V</t>
  </si>
  <si>
    <t>Plate2_G7</t>
  </si>
  <si>
    <t>Casplate2_Editor57</t>
  </si>
  <si>
    <t>A1322T</t>
  </si>
  <si>
    <t>Plate2_G8</t>
  </si>
  <si>
    <t>Casplate2_Editor58</t>
  </si>
  <si>
    <t>A1322V</t>
  </si>
  <si>
    <t>Plate2_G9</t>
  </si>
  <si>
    <t>Casplate2_Editor59</t>
  </si>
  <si>
    <t>K918A</t>
  </si>
  <si>
    <t>Plate2_G10</t>
  </si>
  <si>
    <t>Casplate2_Editor60</t>
  </si>
  <si>
    <t>K918D</t>
  </si>
  <si>
    <t>Plate2_G11</t>
  </si>
  <si>
    <t>Casplate4_Editor1</t>
  </si>
  <si>
    <t>D608N</t>
  </si>
  <si>
    <t>Plate2_A1</t>
  </si>
  <si>
    <t>Casplate4_Editor2</t>
  </si>
  <si>
    <t>R654C</t>
  </si>
  <si>
    <t>Plate2_A2</t>
  </si>
  <si>
    <t>Casplate4_Editor3</t>
  </si>
  <si>
    <t>E790K</t>
  </si>
  <si>
    <t>Plate2_A3</t>
  </si>
  <si>
    <t>Casplate4_Editor4</t>
  </si>
  <si>
    <t>D645E</t>
  </si>
  <si>
    <t>Plate2_A4</t>
  </si>
  <si>
    <t>Casplate4_Editor5</t>
  </si>
  <si>
    <t>D645N</t>
  </si>
  <si>
    <t>Plate2_A5</t>
  </si>
  <si>
    <t>Casplate4_Editor6</t>
  </si>
  <si>
    <t>E471K</t>
  </si>
  <si>
    <t>Plate2_A6</t>
  </si>
  <si>
    <t>Casplate4_Editor7</t>
  </si>
  <si>
    <t>G687D</t>
  </si>
  <si>
    <t>Plate2_A7</t>
  </si>
  <si>
    <t>Casplate4_Editor8</t>
  </si>
  <si>
    <t>G715E</t>
  </si>
  <si>
    <t>Plate2_A8</t>
  </si>
  <si>
    <t>Casplate4_Editor9</t>
  </si>
  <si>
    <t>H721Y</t>
  </si>
  <si>
    <t>Plate2_A9</t>
  </si>
  <si>
    <t>Casplate4_Editor10</t>
  </si>
  <si>
    <t>H754R</t>
  </si>
  <si>
    <t>Plate2_A10</t>
  </si>
  <si>
    <t>Casplate4_Editor11</t>
  </si>
  <si>
    <t>E584G</t>
  </si>
  <si>
    <t>Plate2_A11</t>
  </si>
  <si>
    <t>Casplate4_Editor12</t>
  </si>
  <si>
    <t>G485S</t>
  </si>
  <si>
    <t>Plate2_A12</t>
  </si>
  <si>
    <t>Casplate4_Editor13</t>
  </si>
  <si>
    <t>K735R</t>
  </si>
  <si>
    <t>Plate2_B1</t>
  </si>
  <si>
    <t>Casplate4_Editor14</t>
  </si>
  <si>
    <t>N776D</t>
  </si>
  <si>
    <t>Plate2_B12</t>
  </si>
  <si>
    <t>Casplate4_Editor15</t>
  </si>
  <si>
    <t>Q739L</t>
  </si>
  <si>
    <t>Plate2_C1</t>
  </si>
  <si>
    <t>Casplate4_Editor16</t>
  </si>
  <si>
    <t>T804A</t>
  </si>
  <si>
    <t>Plate2_C12</t>
  </si>
  <si>
    <t>Casplate4_Editor17</t>
  </si>
  <si>
    <t>V824E</t>
  </si>
  <si>
    <t>Plate2_D1</t>
  </si>
  <si>
    <t>Casplate4_Editor18</t>
  </si>
  <si>
    <t>R753N</t>
  </si>
  <si>
    <t>Plate2_D12</t>
  </si>
  <si>
    <t>Casplate4_Editor19</t>
  </si>
  <si>
    <t>R753Q</t>
  </si>
  <si>
    <t>Plate2_E1</t>
  </si>
  <si>
    <t>Casplate4_Editor20</t>
  </si>
  <si>
    <t>K1003R</t>
  </si>
  <si>
    <t>Plate2_E12</t>
  </si>
  <si>
    <t>Casplate4_Editor21</t>
  </si>
  <si>
    <t>K1014E</t>
  </si>
  <si>
    <t>Plate2_F1</t>
  </si>
  <si>
    <t>Casplate4_Editor22</t>
  </si>
  <si>
    <t>A1034D</t>
  </si>
  <si>
    <t>Plate2_F12</t>
  </si>
  <si>
    <t>Casplate4_Editor23</t>
  </si>
  <si>
    <t>A1034E</t>
  </si>
  <si>
    <t>Plate2_G1</t>
  </si>
  <si>
    <t>Casplate4_Editor24</t>
  </si>
  <si>
    <t>K918S</t>
  </si>
  <si>
    <t>Plate2_G12</t>
  </si>
  <si>
    <t>Casplate4_Editor25</t>
  </si>
  <si>
    <t>K1003N</t>
  </si>
  <si>
    <t>Plate2_H1</t>
  </si>
  <si>
    <t>Casplate4_Editor26</t>
  </si>
  <si>
    <t>K1003Q</t>
  </si>
  <si>
    <t>Plate2_H2</t>
  </si>
  <si>
    <t>Casplate4_Editor27</t>
  </si>
  <si>
    <t>K1003S</t>
  </si>
  <si>
    <t>Plate2_H3</t>
  </si>
  <si>
    <t>Casplate4_Editor28</t>
  </si>
  <si>
    <t>D1180G</t>
  </si>
  <si>
    <t>Plate2_H4</t>
  </si>
  <si>
    <t>Casplate4_Editor29</t>
  </si>
  <si>
    <t>E1071K</t>
  </si>
  <si>
    <t>Plate2_H5</t>
  </si>
  <si>
    <t>Casplate4_Editor30</t>
  </si>
  <si>
    <t>E1260D</t>
  </si>
  <si>
    <t>Plate2_H6</t>
  </si>
  <si>
    <t>Casplate4_Editor31</t>
  </si>
  <si>
    <t>E1260K</t>
  </si>
  <si>
    <t>Plate2_H7</t>
  </si>
  <si>
    <t>Casplate4_Editor32</t>
  </si>
  <si>
    <t>G1152E</t>
  </si>
  <si>
    <t>Plate2_H8</t>
  </si>
  <si>
    <t>Casplate4_Editor33</t>
  </si>
  <si>
    <t>I1110T</t>
  </si>
  <si>
    <t>Plate2_H9</t>
  </si>
  <si>
    <t>Casplate4_Editor34</t>
  </si>
  <si>
    <t>K1014N</t>
  </si>
  <si>
    <t>Plate2_H10</t>
  </si>
  <si>
    <t>Casplate4_Editor35</t>
  </si>
  <si>
    <t>K1014Q</t>
  </si>
  <si>
    <t>Plate2_H11</t>
  </si>
  <si>
    <t>Casplate4_Editor36</t>
  </si>
  <si>
    <t>K1020Q</t>
  </si>
  <si>
    <t>Plate2_H12</t>
  </si>
  <si>
    <t>Casplate4_Editor37</t>
  </si>
  <si>
    <t>A68V</t>
  </si>
  <si>
    <t>Plate1and3_A1</t>
  </si>
  <si>
    <t>Casplate4_Editor38</t>
  </si>
  <si>
    <t>C80Y</t>
  </si>
  <si>
    <t>Plate1and3_A2</t>
  </si>
  <si>
    <t>Casplate4_Editor39</t>
  </si>
  <si>
    <t>D23G</t>
  </si>
  <si>
    <t>Plate1and3_A3</t>
  </si>
  <si>
    <t>Casplate4_Editor40</t>
  </si>
  <si>
    <t>D177G</t>
  </si>
  <si>
    <t>Plate1and3_A4</t>
  </si>
  <si>
    <t>Casplate4_Editor41</t>
  </si>
  <si>
    <t>D298N</t>
  </si>
  <si>
    <t>Plate1and3_A5</t>
  </si>
  <si>
    <t>Casplate4_Editor42</t>
  </si>
  <si>
    <t>S320F</t>
  </si>
  <si>
    <t>Plate1and3_A6</t>
  </si>
  <si>
    <t>Casplate4_Editor43</t>
  </si>
  <si>
    <t>S320Y</t>
  </si>
  <si>
    <t>Plate1and3_A7</t>
  </si>
  <si>
    <t>Casplate4_Editor44</t>
  </si>
  <si>
    <t>V206I</t>
  </si>
  <si>
    <t>Plate1and3_A8</t>
  </si>
  <si>
    <t>Casplate4_Editor45</t>
  </si>
  <si>
    <t>E60G</t>
  </si>
  <si>
    <t>Plate1and3_A9</t>
  </si>
  <si>
    <t>Casplate4_Editor46</t>
  </si>
  <si>
    <t>E102K</t>
  </si>
  <si>
    <t>Plate1and3_A10</t>
  </si>
  <si>
    <t>Casplate4_Editor47</t>
  </si>
  <si>
    <t>E260K</t>
  </si>
  <si>
    <t>Plate1and3_A11</t>
  </si>
  <si>
    <t>Casplate4_Editor48</t>
  </si>
  <si>
    <t>H99L</t>
  </si>
  <si>
    <t>Plate1and3_A12</t>
  </si>
  <si>
    <t>Casplate4_Editor49</t>
  </si>
  <si>
    <t>H99Q</t>
  </si>
  <si>
    <t>Plate1and3_B1</t>
  </si>
  <si>
    <t>Casplate4_Editor50</t>
  </si>
  <si>
    <t>N251S</t>
  </si>
  <si>
    <t>Plate1and3_B12</t>
  </si>
  <si>
    <t>Casplate4_Editor51</t>
  </si>
  <si>
    <t>N295S</t>
  </si>
  <si>
    <t>Plate1and3_C1</t>
  </si>
  <si>
    <t>Casplate4_Editor52</t>
  </si>
  <si>
    <t>E102R</t>
  </si>
  <si>
    <t>Plate1and3_C12</t>
  </si>
  <si>
    <t>Casplate4_Editor53</t>
  </si>
  <si>
    <t>E102S</t>
  </si>
  <si>
    <t>Plate1and3_D1</t>
  </si>
  <si>
    <t>Casplate4_Editor54</t>
  </si>
  <si>
    <t>M1021H</t>
  </si>
  <si>
    <t>Plate1and3_D12</t>
  </si>
  <si>
    <t>Casplate4_Editor55</t>
  </si>
  <si>
    <t>M1021Y</t>
  </si>
  <si>
    <t>Plate1and3_E1</t>
  </si>
  <si>
    <t>Casplate4_Editor56</t>
  </si>
  <si>
    <t>R895N</t>
  </si>
  <si>
    <t>Plate1and3_E12</t>
  </si>
  <si>
    <t>Casplate4_Editor57</t>
  </si>
  <si>
    <t>R895S</t>
  </si>
  <si>
    <t>Plate1and3_F1</t>
  </si>
  <si>
    <t>Casplate13_Editor1</t>
  </si>
  <si>
    <t>H99R</t>
  </si>
  <si>
    <t>Plate1and3_B2</t>
  </si>
  <si>
    <t>Casplate13_Editor2</t>
  </si>
  <si>
    <t>I312V</t>
  </si>
  <si>
    <t>Plate1and3_B3</t>
  </si>
  <si>
    <t>Casplate13_Editor3</t>
  </si>
  <si>
    <t>K33N</t>
  </si>
  <si>
    <t>Plate1and3_B4</t>
  </si>
  <si>
    <t>Casplate13_Editor4</t>
  </si>
  <si>
    <t>K218R</t>
  </si>
  <si>
    <t>Plate1and3_B5</t>
  </si>
  <si>
    <t>Casplate13_Editor5</t>
  </si>
  <si>
    <t>K314E</t>
  </si>
  <si>
    <t>Plate1and3_B6</t>
  </si>
  <si>
    <t>Casplate13_Editor6</t>
  </si>
  <si>
    <t>K314N</t>
  </si>
  <si>
    <t>Plate1and3_B7</t>
  </si>
  <si>
    <t>Casplate13_Editor7</t>
  </si>
  <si>
    <t>L35R</t>
  </si>
  <si>
    <t>Plate1and3_B8</t>
  </si>
  <si>
    <t>Casplate13_Editor8</t>
  </si>
  <si>
    <t>N46K</t>
  </si>
  <si>
    <t>Plate1and3_B9</t>
  </si>
  <si>
    <t>Casplate13_Editor9</t>
  </si>
  <si>
    <t>N175K</t>
  </si>
  <si>
    <t>Plate1and3_B10</t>
  </si>
  <si>
    <t>Casplate13_Editor10</t>
  </si>
  <si>
    <t>N175T</t>
  </si>
  <si>
    <t>Plate1and3_B11</t>
  </si>
  <si>
    <t>Casplate13_Editor11</t>
  </si>
  <si>
    <t>N309D</t>
  </si>
  <si>
    <t>Plate1and3_C2</t>
  </si>
  <si>
    <t>Casplate13_Editor12</t>
  </si>
  <si>
    <t>R63W</t>
  </si>
  <si>
    <t>Plate1and3_C3</t>
  </si>
  <si>
    <t>Casplate13_Editor13</t>
  </si>
  <si>
    <t>R220S</t>
  </si>
  <si>
    <t>Plate1and3_C4</t>
  </si>
  <si>
    <t>Casplate13_Editor14</t>
  </si>
  <si>
    <t>R307G</t>
  </si>
  <si>
    <t>Plate1and3_C5</t>
  </si>
  <si>
    <t>Casplate13_Editor15</t>
  </si>
  <si>
    <t>R395C</t>
  </si>
  <si>
    <t>Plate1and3_C6</t>
  </si>
  <si>
    <t>Casplate13_Editor16</t>
  </si>
  <si>
    <t>I312A</t>
  </si>
  <si>
    <t>Plate1and3_C7</t>
  </si>
  <si>
    <t>Casplate13_Editor17</t>
  </si>
  <si>
    <t>I312S</t>
  </si>
  <si>
    <t>Plate1and3_C8</t>
  </si>
  <si>
    <t>Casplate13_Editor18</t>
  </si>
  <si>
    <t>E60Q</t>
  </si>
  <si>
    <t>Plate1and3_C9</t>
  </si>
  <si>
    <t>Casplate13_Editor19</t>
  </si>
  <si>
    <t>E102H</t>
  </si>
  <si>
    <t>Plate1and3_C10</t>
  </si>
  <si>
    <t>Casplate13_Editor20</t>
  </si>
  <si>
    <t>E102Q</t>
  </si>
  <si>
    <t>Plate1and3_C11</t>
  </si>
  <si>
    <t>Casplate13_Editor21</t>
  </si>
  <si>
    <t>E102Y</t>
  </si>
  <si>
    <t>Plate1and3_D2</t>
  </si>
  <si>
    <t>Casplate13_Editor22</t>
  </si>
  <si>
    <t>K1151N</t>
  </si>
  <si>
    <t>Plate1and3_D3</t>
  </si>
  <si>
    <t>Casplate13_Editor23</t>
  </si>
  <si>
    <t>K1151R</t>
  </si>
  <si>
    <t>Plate1and3_D4</t>
  </si>
  <si>
    <t>Casplate13_Editor24</t>
  </si>
  <si>
    <t>M1021F</t>
  </si>
  <si>
    <t>Plate1and3_D5</t>
  </si>
  <si>
    <t>Casplate13_Editor25</t>
  </si>
  <si>
    <t>K1151E</t>
  </si>
  <si>
    <t>Plate1and3_D6</t>
  </si>
  <si>
    <t>Casplate13_Editor26</t>
  </si>
  <si>
    <t>L1291R</t>
  </si>
  <si>
    <t>Plate1and3_D7</t>
  </si>
  <si>
    <t>Casplate13_Editor27</t>
  </si>
  <si>
    <t>P1229S</t>
  </si>
  <si>
    <t>Plate1and3_D8</t>
  </si>
  <si>
    <t>Casplate13_Editor28</t>
  </si>
  <si>
    <t>P1321S</t>
  </si>
  <si>
    <t>Plate1and3_D9</t>
  </si>
  <si>
    <t>Casplate13_Editor29</t>
  </si>
  <si>
    <t>R1060L</t>
  </si>
  <si>
    <t>Plate1and3_D10</t>
  </si>
  <si>
    <t>Casplate13_Editor30</t>
  </si>
  <si>
    <t>S1106F</t>
  </si>
  <si>
    <t>Plate1and3_D11</t>
  </si>
  <si>
    <t>Casplate13_Editor31</t>
  </si>
  <si>
    <t>S1142T</t>
  </si>
  <si>
    <t>Plate1and3_E2</t>
  </si>
  <si>
    <t>Casplate13_Editor32</t>
  </si>
  <si>
    <t>S1172N</t>
  </si>
  <si>
    <t>Plate1and3_E3</t>
  </si>
  <si>
    <t>Casplate13_Editor33</t>
  </si>
  <si>
    <t>S1173N</t>
  </si>
  <si>
    <t>Plate1and3_E4</t>
  </si>
  <si>
    <t>Casplate13_Editor34</t>
  </si>
  <si>
    <t>S1240N</t>
  </si>
  <si>
    <t>Plate1and3_E5</t>
  </si>
  <si>
    <t>Casplate13_Editor35</t>
  </si>
  <si>
    <t>T1138A</t>
  </si>
  <si>
    <t>Plate1and3_E6</t>
  </si>
  <si>
    <t>Casplate13_Editor36</t>
  </si>
  <si>
    <t>V1100I</t>
  </si>
  <si>
    <t>Plate1and3_E7</t>
  </si>
  <si>
    <t>Casplate13_Editor37</t>
  </si>
  <si>
    <t>V1100M</t>
  </si>
  <si>
    <t>Plate1and3_E8</t>
  </si>
  <si>
    <t>Casplate13_Editor38</t>
  </si>
  <si>
    <t>V1139A</t>
  </si>
  <si>
    <t>Plate1and3_E9</t>
  </si>
  <si>
    <t>Casplate13_Editor39</t>
  </si>
  <si>
    <t>R895A</t>
  </si>
  <si>
    <t>Plate1and3_E10</t>
  </si>
  <si>
    <t>Casplate13_Editor40</t>
  </si>
  <si>
    <t>R895E</t>
  </si>
  <si>
    <t>Plate1and3_E11</t>
  </si>
  <si>
    <t>Casplate13_Editor41</t>
  </si>
  <si>
    <t>R1019N</t>
  </si>
  <si>
    <t>Plate1and3_F2</t>
  </si>
  <si>
    <t>Casplate13_Editor42</t>
  </si>
  <si>
    <t>R1019Q</t>
  </si>
  <si>
    <t>Plate1and3_F3</t>
  </si>
  <si>
    <t>Casplate13_Editor43</t>
  </si>
  <si>
    <t>R1060K</t>
  </si>
  <si>
    <t>Plate1and3_F4</t>
  </si>
  <si>
    <t>Casplate13_Editor44</t>
  </si>
  <si>
    <t>V1018A</t>
  </si>
  <si>
    <t>Plate1and3_F5</t>
  </si>
  <si>
    <t>Casplate13_Editor45</t>
  </si>
  <si>
    <t>V1018H</t>
  </si>
  <si>
    <t>Plate1and3_F6</t>
  </si>
  <si>
    <t>Casplate13_Editor46</t>
  </si>
  <si>
    <t>V1018L</t>
  </si>
  <si>
    <t>Plate1and3_F7</t>
  </si>
  <si>
    <t xml:space="preserve">PEmax△RNAseH </t>
  </si>
  <si>
    <t>(WT)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</si>
</sst>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2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4FA0-72F3-554C-AE73-A2E6333701E1}">
  <dimension ref="A1:M169"/>
  <sheetViews>
    <sheetView tabSelected="1" workbookViewId="0">
      <selection sqref="A1:XFD1048576"/>
    </sheetView>
  </sheetViews>
  <sheetFormatPr baseColWidth="10" defaultRowHeight="14" x14ac:dyDescent="0.15"/>
  <cols>
    <col min="1" max="1" width="18.1640625" style="8" bestFit="1" customWidth="1"/>
    <col min="2" max="2" width="8" style="8" bestFit="1" customWidth="1"/>
    <col min="3" max="3" width="14.5" style="8" bestFit="1" customWidth="1"/>
    <col min="4" max="4" width="1.83203125" style="8" customWidth="1"/>
    <col min="5" max="8" width="5.6640625" style="8" bestFit="1" customWidth="1"/>
    <col min="9" max="9" width="1.83203125" style="8" customWidth="1"/>
    <col min="10" max="13" width="5.6640625" style="8" bestFit="1" customWidth="1"/>
    <col min="14" max="16384" width="10.83203125" style="8"/>
  </cols>
  <sheetData>
    <row r="1" spans="1:13" s="1" customFormat="1" x14ac:dyDescent="0.15">
      <c r="A1" s="1" t="s">
        <v>0</v>
      </c>
    </row>
    <row r="2" spans="1:13" s="2" customFormat="1" x14ac:dyDescent="0.15">
      <c r="A2" s="2" t="s">
        <v>1</v>
      </c>
    </row>
    <row r="4" spans="1:13" x14ac:dyDescent="0.15">
      <c r="A4" s="3"/>
      <c r="B4" s="4"/>
      <c r="C4" s="4"/>
      <c r="D4" s="5"/>
      <c r="E4" s="6" t="s">
        <v>2</v>
      </c>
      <c r="F4" s="6"/>
      <c r="G4" s="6"/>
      <c r="H4" s="6"/>
      <c r="I4" s="5"/>
      <c r="J4" s="6" t="s">
        <v>3</v>
      </c>
      <c r="K4" s="6"/>
      <c r="L4" s="6"/>
      <c r="M4" s="7"/>
    </row>
    <row r="5" spans="1:13" x14ac:dyDescent="0.15">
      <c r="A5" s="9" t="s">
        <v>4</v>
      </c>
      <c r="B5" s="9" t="s">
        <v>5</v>
      </c>
      <c r="C5" s="9" t="s">
        <v>6</v>
      </c>
      <c r="D5" s="10"/>
      <c r="E5" s="9" t="s">
        <v>7</v>
      </c>
      <c r="F5" s="9" t="s">
        <v>8</v>
      </c>
      <c r="G5" s="9" t="s">
        <v>9</v>
      </c>
      <c r="H5" s="9" t="s">
        <v>10</v>
      </c>
      <c r="I5" s="10"/>
      <c r="J5" s="9" t="s">
        <v>7</v>
      </c>
      <c r="K5" s="9" t="s">
        <v>8</v>
      </c>
      <c r="L5" s="9" t="s">
        <v>9</v>
      </c>
      <c r="M5" s="11" t="s">
        <v>10</v>
      </c>
    </row>
    <row r="6" spans="1:13" x14ac:dyDescent="0.15">
      <c r="A6" s="9" t="s">
        <v>11</v>
      </c>
      <c r="B6" s="9" t="s">
        <v>12</v>
      </c>
      <c r="C6" s="9" t="s">
        <v>13</v>
      </c>
      <c r="D6" s="10"/>
      <c r="E6" s="12">
        <v>50.521667600000001</v>
      </c>
      <c r="F6" s="12">
        <v>43.286854099999999</v>
      </c>
      <c r="G6" s="12">
        <v>46.757230499999999</v>
      </c>
      <c r="H6" s="13">
        <f>AVERAGE(E6:G6)</f>
        <v>46.855250733333328</v>
      </c>
      <c r="I6" s="10"/>
      <c r="J6" s="12">
        <v>28.6857936</v>
      </c>
      <c r="K6" s="12">
        <v>36.652945899999999</v>
      </c>
      <c r="L6" s="12">
        <v>34.738368800000003</v>
      </c>
      <c r="M6" s="14">
        <f>AVERAGE(J6:L6)</f>
        <v>33.359036100000004</v>
      </c>
    </row>
    <row r="7" spans="1:13" x14ac:dyDescent="0.15">
      <c r="A7" s="9" t="s">
        <v>14</v>
      </c>
      <c r="B7" s="9" t="s">
        <v>15</v>
      </c>
      <c r="C7" s="9" t="s">
        <v>16</v>
      </c>
      <c r="D7" s="10"/>
      <c r="E7" s="12">
        <v>51.418345000000002</v>
      </c>
      <c r="F7" s="12">
        <v>41.325169699999996</v>
      </c>
      <c r="G7" s="12">
        <v>43.0164683</v>
      </c>
      <c r="H7" s="13">
        <f t="shared" ref="H7:H70" si="0">AVERAGE(E7:G7)</f>
        <v>45.253327666666657</v>
      </c>
      <c r="I7" s="10"/>
      <c r="J7" s="12">
        <v>31.422567300000001</v>
      </c>
      <c r="K7" s="12">
        <v>44.157744600000001</v>
      </c>
      <c r="L7" s="12">
        <v>40.265302900000002</v>
      </c>
      <c r="M7" s="14">
        <f t="shared" ref="M7:M70" si="1">AVERAGE(J7:L7)</f>
        <v>38.615204933333331</v>
      </c>
    </row>
    <row r="8" spans="1:13" x14ac:dyDescent="0.15">
      <c r="A8" s="9" t="s">
        <v>17</v>
      </c>
      <c r="B8" s="9" t="s">
        <v>18</v>
      </c>
      <c r="C8" s="9" t="s">
        <v>19</v>
      </c>
      <c r="D8" s="10"/>
      <c r="E8" s="12">
        <v>50.684379200000002</v>
      </c>
      <c r="F8" s="12">
        <v>45.902038300000001</v>
      </c>
      <c r="G8" s="12">
        <v>43.118445100000002</v>
      </c>
      <c r="H8" s="13">
        <f t="shared" si="0"/>
        <v>46.56828753333334</v>
      </c>
      <c r="I8" s="10"/>
      <c r="J8" s="12">
        <v>26.9083316</v>
      </c>
      <c r="K8" s="12">
        <v>35.995025499999997</v>
      </c>
      <c r="L8" s="12">
        <v>31.076453699999998</v>
      </c>
      <c r="M8" s="14">
        <f t="shared" si="1"/>
        <v>31.326603599999999</v>
      </c>
    </row>
    <row r="9" spans="1:13" x14ac:dyDescent="0.15">
      <c r="A9" s="15" t="s">
        <v>20</v>
      </c>
      <c r="B9" s="15" t="s">
        <v>21</v>
      </c>
      <c r="C9" s="15" t="s">
        <v>22</v>
      </c>
      <c r="D9" s="16"/>
      <c r="E9" s="12">
        <v>51.209257600000001</v>
      </c>
      <c r="F9" s="12">
        <v>46.3734787</v>
      </c>
      <c r="G9" s="12">
        <v>42.145815599999999</v>
      </c>
      <c r="H9" s="12">
        <f t="shared" si="0"/>
        <v>46.576183966666662</v>
      </c>
      <c r="I9" s="16"/>
      <c r="J9" s="12">
        <v>35.273457100000002</v>
      </c>
      <c r="K9" s="12">
        <v>43.132353999999999</v>
      </c>
      <c r="L9" s="12">
        <v>42.551352999999999</v>
      </c>
      <c r="M9" s="17">
        <f t="shared" si="1"/>
        <v>40.319054700000002</v>
      </c>
    </row>
    <row r="10" spans="1:13" x14ac:dyDescent="0.15">
      <c r="A10" s="9" t="s">
        <v>23</v>
      </c>
      <c r="B10" s="9" t="s">
        <v>24</v>
      </c>
      <c r="C10" s="9" t="s">
        <v>25</v>
      </c>
      <c r="D10" s="10"/>
      <c r="E10" s="12">
        <v>48.924894899999998</v>
      </c>
      <c r="F10" s="12">
        <v>38.0543634</v>
      </c>
      <c r="G10" s="12">
        <v>38.906517600000001</v>
      </c>
      <c r="H10" s="13">
        <f t="shared" si="0"/>
        <v>41.961925299999997</v>
      </c>
      <c r="I10" s="10"/>
      <c r="J10" s="12">
        <v>21.539016199999999</v>
      </c>
      <c r="K10" s="12">
        <v>31.754720299999999</v>
      </c>
      <c r="L10" s="12">
        <v>33.4018984</v>
      </c>
      <c r="M10" s="14">
        <f t="shared" si="1"/>
        <v>28.898544966666663</v>
      </c>
    </row>
    <row r="11" spans="1:13" x14ac:dyDescent="0.15">
      <c r="A11" s="9" t="s">
        <v>26</v>
      </c>
      <c r="B11" s="9" t="s">
        <v>27</v>
      </c>
      <c r="C11" s="9" t="s">
        <v>28</v>
      </c>
      <c r="D11" s="10"/>
      <c r="E11" s="12">
        <v>35.300722399999998</v>
      </c>
      <c r="F11" s="12">
        <v>28.415255899999998</v>
      </c>
      <c r="G11" s="12">
        <v>31.498370300000001</v>
      </c>
      <c r="H11" s="13">
        <f t="shared" si="0"/>
        <v>31.738116199999997</v>
      </c>
      <c r="I11" s="10"/>
      <c r="J11" s="12">
        <v>17.932489499999999</v>
      </c>
      <c r="K11" s="12">
        <v>23.270808899999999</v>
      </c>
      <c r="L11" s="12">
        <v>24.452283699999999</v>
      </c>
      <c r="M11" s="14">
        <f t="shared" si="1"/>
        <v>21.885194033333331</v>
      </c>
    </row>
    <row r="12" spans="1:13" x14ac:dyDescent="0.15">
      <c r="A12" s="9" t="s">
        <v>29</v>
      </c>
      <c r="B12" s="9" t="s">
        <v>30</v>
      </c>
      <c r="C12" s="9" t="s">
        <v>31</v>
      </c>
      <c r="D12" s="10"/>
      <c r="E12" s="12">
        <v>53.787373299999999</v>
      </c>
      <c r="F12" s="12">
        <v>41.9252805</v>
      </c>
      <c r="G12" s="12">
        <v>43.035185800000001</v>
      </c>
      <c r="H12" s="13">
        <f t="shared" si="0"/>
        <v>46.249279866666662</v>
      </c>
      <c r="I12" s="10"/>
      <c r="J12" s="12">
        <v>32.048524499999999</v>
      </c>
      <c r="K12" s="12">
        <v>41.582141</v>
      </c>
      <c r="L12" s="12">
        <v>39.791285299999998</v>
      </c>
      <c r="M12" s="14">
        <f t="shared" si="1"/>
        <v>37.807316933333333</v>
      </c>
    </row>
    <row r="13" spans="1:13" x14ac:dyDescent="0.15">
      <c r="A13" s="9" t="s">
        <v>32</v>
      </c>
      <c r="B13" s="9" t="s">
        <v>33</v>
      </c>
      <c r="C13" s="9" t="s">
        <v>34</v>
      </c>
      <c r="D13" s="10"/>
      <c r="E13" s="12">
        <v>39.7809326</v>
      </c>
      <c r="F13" s="12">
        <v>32.424429699999997</v>
      </c>
      <c r="G13" s="12">
        <v>34.092814099999998</v>
      </c>
      <c r="H13" s="13">
        <f t="shared" si="0"/>
        <v>35.43272546666666</v>
      </c>
      <c r="I13" s="10"/>
      <c r="J13" s="12">
        <v>22.1892003</v>
      </c>
      <c r="K13" s="12">
        <v>33.642564800000002</v>
      </c>
      <c r="L13" s="12">
        <v>33.1915768</v>
      </c>
      <c r="M13" s="14">
        <f t="shared" si="1"/>
        <v>29.674447299999997</v>
      </c>
    </row>
    <row r="14" spans="1:13" x14ac:dyDescent="0.15">
      <c r="A14" s="9" t="s">
        <v>35</v>
      </c>
      <c r="B14" s="9" t="s">
        <v>36</v>
      </c>
      <c r="C14" s="9" t="s">
        <v>37</v>
      </c>
      <c r="D14" s="10"/>
      <c r="E14" s="12">
        <v>49.6597881</v>
      </c>
      <c r="F14" s="12">
        <v>42.334799099999998</v>
      </c>
      <c r="G14" s="12">
        <v>37.377344600000001</v>
      </c>
      <c r="H14" s="13">
        <f t="shared" si="0"/>
        <v>43.123977266666664</v>
      </c>
      <c r="I14" s="10"/>
      <c r="J14" s="12">
        <v>31.678805000000001</v>
      </c>
      <c r="K14" s="12">
        <v>41.791810499999997</v>
      </c>
      <c r="L14" s="12">
        <v>37.524676999999997</v>
      </c>
      <c r="M14" s="14">
        <f t="shared" si="1"/>
        <v>36.99843083333333</v>
      </c>
    </row>
    <row r="15" spans="1:13" x14ac:dyDescent="0.15">
      <c r="A15" s="9" t="s">
        <v>38</v>
      </c>
      <c r="B15" s="9" t="s">
        <v>39</v>
      </c>
      <c r="C15" s="9" t="s">
        <v>40</v>
      </c>
      <c r="D15" s="10"/>
      <c r="E15" s="12">
        <v>46.6284651</v>
      </c>
      <c r="F15" s="12">
        <v>37.716109600000003</v>
      </c>
      <c r="G15" s="12">
        <v>40.972894500000002</v>
      </c>
      <c r="H15" s="13">
        <f t="shared" si="0"/>
        <v>41.772489733333337</v>
      </c>
      <c r="I15" s="10"/>
      <c r="J15" s="12">
        <v>35.098571300000003</v>
      </c>
      <c r="K15" s="12">
        <v>41.179441300000001</v>
      </c>
      <c r="L15" s="12">
        <v>39.540342099999997</v>
      </c>
      <c r="M15" s="14">
        <f t="shared" si="1"/>
        <v>38.606118233333341</v>
      </c>
    </row>
    <row r="16" spans="1:13" x14ac:dyDescent="0.15">
      <c r="A16" s="9" t="s">
        <v>41</v>
      </c>
      <c r="B16" s="9" t="s">
        <v>42</v>
      </c>
      <c r="C16" s="9" t="s">
        <v>43</v>
      </c>
      <c r="D16" s="10"/>
      <c r="E16" s="12">
        <v>49.003223599999998</v>
      </c>
      <c r="F16" s="12">
        <v>39.454833899999997</v>
      </c>
      <c r="G16" s="12">
        <v>43.494329700000002</v>
      </c>
      <c r="H16" s="13">
        <f t="shared" si="0"/>
        <v>43.984129066666668</v>
      </c>
      <c r="I16" s="10"/>
      <c r="J16" s="12">
        <v>28.4741891</v>
      </c>
      <c r="K16" s="12">
        <v>39.341133300000003</v>
      </c>
      <c r="L16" s="12">
        <v>40.963321800000003</v>
      </c>
      <c r="M16" s="14">
        <f t="shared" si="1"/>
        <v>36.259548066666667</v>
      </c>
    </row>
    <row r="17" spans="1:13" x14ac:dyDescent="0.15">
      <c r="A17" s="9" t="s">
        <v>44</v>
      </c>
      <c r="B17" s="9" t="s">
        <v>45</v>
      </c>
      <c r="C17" s="9" t="s">
        <v>46</v>
      </c>
      <c r="D17" s="10"/>
      <c r="E17" s="12">
        <v>41.071478599999999</v>
      </c>
      <c r="F17" s="12">
        <v>31.200685199999999</v>
      </c>
      <c r="G17" s="12">
        <v>34.692979999999999</v>
      </c>
      <c r="H17" s="13">
        <f t="shared" si="0"/>
        <v>35.655047933333329</v>
      </c>
      <c r="I17" s="10"/>
      <c r="J17" s="12">
        <v>25.235492499999999</v>
      </c>
      <c r="K17" s="12">
        <v>32.325347399999998</v>
      </c>
      <c r="L17" s="12">
        <v>25.983409200000001</v>
      </c>
      <c r="M17" s="14">
        <f t="shared" si="1"/>
        <v>27.848083033333335</v>
      </c>
    </row>
    <row r="18" spans="1:13" x14ac:dyDescent="0.15">
      <c r="A18" s="9" t="s">
        <v>47</v>
      </c>
      <c r="B18" s="9" t="s">
        <v>48</v>
      </c>
      <c r="C18" s="9" t="s">
        <v>49</v>
      </c>
      <c r="D18" s="10"/>
      <c r="E18" s="12">
        <v>50.331054899999998</v>
      </c>
      <c r="F18" s="12">
        <v>36.375676900000002</v>
      </c>
      <c r="G18" s="12">
        <v>40.169598999999998</v>
      </c>
      <c r="H18" s="13">
        <f t="shared" si="0"/>
        <v>42.292110266666668</v>
      </c>
      <c r="I18" s="10"/>
      <c r="J18" s="12">
        <v>30.287987600000001</v>
      </c>
      <c r="K18" s="12">
        <v>39.554799500000001</v>
      </c>
      <c r="L18" s="12">
        <v>36.320754700000002</v>
      </c>
      <c r="M18" s="14">
        <f t="shared" si="1"/>
        <v>35.387847266666675</v>
      </c>
    </row>
    <row r="19" spans="1:13" x14ac:dyDescent="0.15">
      <c r="A19" s="9" t="s">
        <v>50</v>
      </c>
      <c r="B19" s="9" t="s">
        <v>51</v>
      </c>
      <c r="C19" s="9" t="s">
        <v>52</v>
      </c>
      <c r="D19" s="10"/>
      <c r="E19" s="12">
        <v>54.0585697</v>
      </c>
      <c r="F19" s="12">
        <v>37.343869499999997</v>
      </c>
      <c r="G19" s="12">
        <v>42.394007899999998</v>
      </c>
      <c r="H19" s="13">
        <f t="shared" si="0"/>
        <v>44.598815699999996</v>
      </c>
      <c r="I19" s="10"/>
      <c r="J19" s="12">
        <v>28.194196099999999</v>
      </c>
      <c r="K19" s="12">
        <v>40.732387199999998</v>
      </c>
      <c r="L19" s="12">
        <v>33.929502800000002</v>
      </c>
      <c r="M19" s="14">
        <f t="shared" si="1"/>
        <v>34.285362033333335</v>
      </c>
    </row>
    <row r="20" spans="1:13" x14ac:dyDescent="0.15">
      <c r="A20" s="9" t="s">
        <v>53</v>
      </c>
      <c r="B20" s="9" t="s">
        <v>54</v>
      </c>
      <c r="C20" s="9" t="s">
        <v>55</v>
      </c>
      <c r="D20" s="10"/>
      <c r="E20" s="12">
        <v>48.285248699999997</v>
      </c>
      <c r="F20" s="12">
        <v>35.827049700000003</v>
      </c>
      <c r="G20" s="12">
        <v>40.170502499999998</v>
      </c>
      <c r="H20" s="13">
        <f t="shared" si="0"/>
        <v>41.427600300000002</v>
      </c>
      <c r="I20" s="10"/>
      <c r="J20" s="12">
        <v>33.091947400000002</v>
      </c>
      <c r="K20" s="12">
        <v>39.648092400000003</v>
      </c>
      <c r="L20" s="12">
        <v>32.747044199999998</v>
      </c>
      <c r="M20" s="14">
        <f t="shared" si="1"/>
        <v>35.162361333333337</v>
      </c>
    </row>
    <row r="21" spans="1:13" x14ac:dyDescent="0.15">
      <c r="A21" s="9" t="s">
        <v>56</v>
      </c>
      <c r="B21" s="9" t="s">
        <v>57</v>
      </c>
      <c r="C21" s="9" t="s">
        <v>58</v>
      </c>
      <c r="D21" s="10"/>
      <c r="E21" s="12">
        <v>46.066389700000002</v>
      </c>
      <c r="F21" s="12">
        <v>41.901246</v>
      </c>
      <c r="G21" s="12">
        <v>45.121036799999999</v>
      </c>
      <c r="H21" s="13">
        <f t="shared" si="0"/>
        <v>44.362890833333331</v>
      </c>
      <c r="I21" s="10"/>
      <c r="J21" s="12">
        <v>29.0613718</v>
      </c>
      <c r="K21" s="12">
        <v>39.573549</v>
      </c>
      <c r="L21" s="12">
        <v>38.541333799999997</v>
      </c>
      <c r="M21" s="14">
        <f t="shared" si="1"/>
        <v>35.7254182</v>
      </c>
    </row>
    <row r="22" spans="1:13" x14ac:dyDescent="0.15">
      <c r="A22" s="9" t="s">
        <v>59</v>
      </c>
      <c r="B22" s="9" t="s">
        <v>60</v>
      </c>
      <c r="C22" s="9" t="s">
        <v>61</v>
      </c>
      <c r="D22" s="10"/>
      <c r="E22" s="12">
        <v>49.193912599999997</v>
      </c>
      <c r="F22" s="12">
        <v>43.475984799999999</v>
      </c>
      <c r="G22" s="12">
        <v>42.178501599999997</v>
      </c>
      <c r="H22" s="13">
        <f t="shared" si="0"/>
        <v>44.949466333333334</v>
      </c>
      <c r="I22" s="10"/>
      <c r="J22" s="12">
        <v>30.563482499999999</v>
      </c>
      <c r="K22" s="12">
        <v>44.770647099999998</v>
      </c>
      <c r="L22" s="12">
        <v>34.747045499999999</v>
      </c>
      <c r="M22" s="14">
        <f t="shared" si="1"/>
        <v>36.69372503333333</v>
      </c>
    </row>
    <row r="23" spans="1:13" x14ac:dyDescent="0.15">
      <c r="A23" s="9" t="s">
        <v>62</v>
      </c>
      <c r="B23" s="9" t="s">
        <v>63</v>
      </c>
      <c r="C23" s="9" t="s">
        <v>64</v>
      </c>
      <c r="D23" s="10"/>
      <c r="E23" s="12">
        <v>48.490554699999997</v>
      </c>
      <c r="F23" s="12">
        <v>35.619399899999998</v>
      </c>
      <c r="G23" s="12">
        <v>42.911430199999998</v>
      </c>
      <c r="H23" s="13">
        <f t="shared" si="0"/>
        <v>42.340461599999998</v>
      </c>
      <c r="I23" s="10"/>
      <c r="J23" s="12">
        <v>32.326782100000003</v>
      </c>
      <c r="K23" s="12">
        <v>41.2951063</v>
      </c>
      <c r="L23" s="12">
        <v>39.151050900000001</v>
      </c>
      <c r="M23" s="14">
        <f t="shared" si="1"/>
        <v>37.590979766666671</v>
      </c>
    </row>
    <row r="24" spans="1:13" x14ac:dyDescent="0.15">
      <c r="A24" s="9" t="s">
        <v>65</v>
      </c>
      <c r="B24" s="9" t="s">
        <v>66</v>
      </c>
      <c r="C24" s="9" t="s">
        <v>67</v>
      </c>
      <c r="D24" s="10"/>
      <c r="E24" s="12">
        <v>51.366419700000002</v>
      </c>
      <c r="F24" s="12">
        <v>39.870636400000002</v>
      </c>
      <c r="G24" s="12">
        <v>39.9722066</v>
      </c>
      <c r="H24" s="13">
        <f t="shared" si="0"/>
        <v>43.736420900000006</v>
      </c>
      <c r="I24" s="10"/>
      <c r="J24" s="12">
        <v>23.882916699999999</v>
      </c>
      <c r="K24" s="12">
        <v>30.931748800000001</v>
      </c>
      <c r="L24" s="12">
        <v>31.282703699999999</v>
      </c>
      <c r="M24" s="14">
        <f t="shared" si="1"/>
        <v>28.699123066666669</v>
      </c>
    </row>
    <row r="25" spans="1:13" x14ac:dyDescent="0.15">
      <c r="A25" s="9" t="s">
        <v>68</v>
      </c>
      <c r="B25" s="9" t="s">
        <v>69</v>
      </c>
      <c r="C25" s="9" t="s">
        <v>70</v>
      </c>
      <c r="D25" s="10"/>
      <c r="E25" s="12">
        <v>46.926865300000003</v>
      </c>
      <c r="F25" s="12">
        <v>40.254743300000001</v>
      </c>
      <c r="G25" s="12">
        <v>37.926633899999999</v>
      </c>
      <c r="H25" s="13">
        <f t="shared" si="0"/>
        <v>41.702747500000001</v>
      </c>
      <c r="I25" s="10"/>
      <c r="J25" s="12">
        <v>30.1998739</v>
      </c>
      <c r="K25" s="12">
        <v>29.7345133</v>
      </c>
      <c r="L25" s="12">
        <v>26.878632799999998</v>
      </c>
      <c r="M25" s="14">
        <f t="shared" si="1"/>
        <v>28.937673333333333</v>
      </c>
    </row>
    <row r="26" spans="1:13" x14ac:dyDescent="0.15">
      <c r="A26" s="9" t="s">
        <v>71</v>
      </c>
      <c r="B26" s="9" t="s">
        <v>72</v>
      </c>
      <c r="C26" s="9" t="s">
        <v>73</v>
      </c>
      <c r="D26" s="10"/>
      <c r="E26" s="12">
        <v>44.3809264</v>
      </c>
      <c r="F26" s="12">
        <v>33.561224000000003</v>
      </c>
      <c r="G26" s="12">
        <v>39.165567699999997</v>
      </c>
      <c r="H26" s="13">
        <f t="shared" si="0"/>
        <v>39.035906033333333</v>
      </c>
      <c r="I26" s="10"/>
      <c r="J26" s="12">
        <v>30.421871299999999</v>
      </c>
      <c r="K26" s="12">
        <v>35.155575300000002</v>
      </c>
      <c r="L26" s="12">
        <v>29.208349699999999</v>
      </c>
      <c r="M26" s="14">
        <f t="shared" si="1"/>
        <v>31.595265433333335</v>
      </c>
    </row>
    <row r="27" spans="1:13" x14ac:dyDescent="0.15">
      <c r="A27" s="9" t="s">
        <v>74</v>
      </c>
      <c r="B27" s="9" t="s">
        <v>75</v>
      </c>
      <c r="C27" s="9" t="s">
        <v>76</v>
      </c>
      <c r="D27" s="10"/>
      <c r="E27" s="12">
        <v>48.9089484</v>
      </c>
      <c r="F27" s="12">
        <v>36.344769999999997</v>
      </c>
      <c r="G27" s="12">
        <v>40.913096600000003</v>
      </c>
      <c r="H27" s="13">
        <f t="shared" si="0"/>
        <v>42.055605</v>
      </c>
      <c r="I27" s="10"/>
      <c r="J27" s="12">
        <v>29.914074100000001</v>
      </c>
      <c r="K27" s="12">
        <v>40.541662600000002</v>
      </c>
      <c r="L27" s="12">
        <v>35.517452499999997</v>
      </c>
      <c r="M27" s="14">
        <f t="shared" si="1"/>
        <v>35.324396400000005</v>
      </c>
    </row>
    <row r="28" spans="1:13" x14ac:dyDescent="0.15">
      <c r="A28" s="9" t="s">
        <v>77</v>
      </c>
      <c r="B28" s="9" t="s">
        <v>78</v>
      </c>
      <c r="C28" s="9" t="s">
        <v>79</v>
      </c>
      <c r="D28" s="10"/>
      <c r="E28" s="12">
        <v>46.458182100000002</v>
      </c>
      <c r="F28" s="12">
        <v>31.269535600000001</v>
      </c>
      <c r="G28" s="12">
        <v>38.100495000000002</v>
      </c>
      <c r="H28" s="13">
        <f t="shared" si="0"/>
        <v>38.609404233333329</v>
      </c>
      <c r="I28" s="10"/>
      <c r="J28" s="12">
        <v>28.022512800000001</v>
      </c>
      <c r="K28" s="12">
        <v>37.472001800000001</v>
      </c>
      <c r="L28" s="12">
        <v>26.2286343</v>
      </c>
      <c r="M28" s="14">
        <f t="shared" si="1"/>
        <v>30.574382966666665</v>
      </c>
    </row>
    <row r="29" spans="1:13" x14ac:dyDescent="0.15">
      <c r="A29" s="9" t="s">
        <v>80</v>
      </c>
      <c r="B29" s="9" t="s">
        <v>81</v>
      </c>
      <c r="C29" s="9" t="s">
        <v>82</v>
      </c>
      <c r="D29" s="10"/>
      <c r="E29" s="12">
        <v>45.153229699999997</v>
      </c>
      <c r="F29" s="12">
        <v>33.988662400000003</v>
      </c>
      <c r="G29" s="12">
        <v>47.419537599999998</v>
      </c>
      <c r="H29" s="13">
        <f t="shared" si="0"/>
        <v>42.187143233333337</v>
      </c>
      <c r="I29" s="10"/>
      <c r="J29" s="12">
        <v>28.453510399999999</v>
      </c>
      <c r="K29" s="12">
        <v>42.630598900000003</v>
      </c>
      <c r="L29" s="12">
        <v>36.093989899999997</v>
      </c>
      <c r="M29" s="14">
        <f t="shared" si="1"/>
        <v>35.726033066666666</v>
      </c>
    </row>
    <row r="30" spans="1:13" x14ac:dyDescent="0.15">
      <c r="A30" s="9" t="s">
        <v>83</v>
      </c>
      <c r="B30" s="9" t="s">
        <v>84</v>
      </c>
      <c r="C30" s="9" t="s">
        <v>85</v>
      </c>
      <c r="D30" s="10"/>
      <c r="E30" s="12">
        <v>40.823600399999997</v>
      </c>
      <c r="F30" s="12">
        <v>26.895454399999998</v>
      </c>
      <c r="G30" s="12">
        <v>35.324418299999998</v>
      </c>
      <c r="H30" s="13">
        <f t="shared" si="0"/>
        <v>34.347824366666664</v>
      </c>
      <c r="I30" s="10"/>
      <c r="J30" s="12">
        <v>26.199022599999999</v>
      </c>
      <c r="K30" s="12">
        <v>27.450364</v>
      </c>
      <c r="L30" s="12">
        <v>17.287072200000001</v>
      </c>
      <c r="M30" s="14">
        <f t="shared" si="1"/>
        <v>23.645486266666666</v>
      </c>
    </row>
    <row r="31" spans="1:13" x14ac:dyDescent="0.15">
      <c r="A31" s="9" t="s">
        <v>86</v>
      </c>
      <c r="B31" s="9" t="s">
        <v>87</v>
      </c>
      <c r="C31" s="9" t="s">
        <v>88</v>
      </c>
      <c r="D31" s="10"/>
      <c r="E31" s="12">
        <v>49.289964500000004</v>
      </c>
      <c r="F31" s="12">
        <v>37.3143964</v>
      </c>
      <c r="G31" s="12">
        <v>42.728339599999998</v>
      </c>
      <c r="H31" s="13">
        <f t="shared" si="0"/>
        <v>43.11090016666666</v>
      </c>
      <c r="I31" s="10"/>
      <c r="J31" s="12">
        <v>27.574393100000002</v>
      </c>
      <c r="K31" s="12">
        <v>35.201614800000002</v>
      </c>
      <c r="L31" s="12">
        <v>33.162597099999999</v>
      </c>
      <c r="M31" s="14">
        <f t="shared" si="1"/>
        <v>31.979534999999998</v>
      </c>
    </row>
    <row r="32" spans="1:13" x14ac:dyDescent="0.15">
      <c r="A32" s="9" t="s">
        <v>89</v>
      </c>
      <c r="B32" s="9" t="s">
        <v>90</v>
      </c>
      <c r="C32" s="9" t="s">
        <v>91</v>
      </c>
      <c r="D32" s="10"/>
      <c r="E32" s="12">
        <v>45.713759400000001</v>
      </c>
      <c r="F32" s="12">
        <v>36.242198600000002</v>
      </c>
      <c r="G32" s="12">
        <v>39.6844447</v>
      </c>
      <c r="H32" s="13">
        <f t="shared" si="0"/>
        <v>40.546800900000001</v>
      </c>
      <c r="I32" s="10"/>
      <c r="J32" s="12">
        <v>29.522437799999999</v>
      </c>
      <c r="K32" s="12">
        <v>40.867086399999998</v>
      </c>
      <c r="L32" s="12">
        <v>33.568791500000003</v>
      </c>
      <c r="M32" s="14">
        <f t="shared" si="1"/>
        <v>34.652771899999998</v>
      </c>
    </row>
    <row r="33" spans="1:13" x14ac:dyDescent="0.15">
      <c r="A33" s="9" t="s">
        <v>92</v>
      </c>
      <c r="B33" s="9" t="s">
        <v>93</v>
      </c>
      <c r="C33" s="9" t="s">
        <v>94</v>
      </c>
      <c r="D33" s="10"/>
      <c r="E33" s="12">
        <v>46.783275000000003</v>
      </c>
      <c r="F33" s="12">
        <v>41.8754384</v>
      </c>
      <c r="G33" s="12">
        <v>42.002470099999996</v>
      </c>
      <c r="H33" s="13">
        <f t="shared" si="0"/>
        <v>43.553727833333333</v>
      </c>
      <c r="I33" s="10"/>
      <c r="J33" s="12">
        <v>29.919734299999998</v>
      </c>
      <c r="K33" s="12">
        <v>41.3533835</v>
      </c>
      <c r="L33" s="12">
        <v>35.506523799999997</v>
      </c>
      <c r="M33" s="14">
        <f t="shared" si="1"/>
        <v>35.593213866666666</v>
      </c>
    </row>
    <row r="34" spans="1:13" x14ac:dyDescent="0.15">
      <c r="A34" s="15" t="s">
        <v>95</v>
      </c>
      <c r="B34" s="15" t="s">
        <v>96</v>
      </c>
      <c r="C34" s="15" t="s">
        <v>97</v>
      </c>
      <c r="D34" s="16"/>
      <c r="E34" s="12">
        <v>52.741914299999998</v>
      </c>
      <c r="F34" s="12">
        <v>38.854239499999998</v>
      </c>
      <c r="G34" s="12">
        <v>41.685051600000001</v>
      </c>
      <c r="H34" s="12">
        <f t="shared" si="0"/>
        <v>44.427068466666668</v>
      </c>
      <c r="I34" s="16"/>
      <c r="J34" s="12">
        <v>32.221412999999998</v>
      </c>
      <c r="K34" s="12">
        <v>42.362941999999997</v>
      </c>
      <c r="L34" s="12">
        <v>36.641325600000002</v>
      </c>
      <c r="M34" s="17">
        <f t="shared" si="1"/>
        <v>37.075226866666661</v>
      </c>
    </row>
    <row r="35" spans="1:13" x14ac:dyDescent="0.15">
      <c r="A35" s="9" t="s">
        <v>98</v>
      </c>
      <c r="B35" s="9" t="s">
        <v>99</v>
      </c>
      <c r="C35" s="9" t="s">
        <v>100</v>
      </c>
      <c r="D35" s="10"/>
      <c r="E35" s="12">
        <v>47.288618700000001</v>
      </c>
      <c r="F35" s="12">
        <v>35.060661000000003</v>
      </c>
      <c r="G35" s="12">
        <v>39.551411399999999</v>
      </c>
      <c r="H35" s="13">
        <f t="shared" si="0"/>
        <v>40.633563700000003</v>
      </c>
      <c r="I35" s="10"/>
      <c r="J35" s="12">
        <v>31.150537199999999</v>
      </c>
      <c r="K35" s="12">
        <v>40.557178200000003</v>
      </c>
      <c r="L35" s="12">
        <v>33.849649399999997</v>
      </c>
      <c r="M35" s="14">
        <f t="shared" si="1"/>
        <v>35.185788266666663</v>
      </c>
    </row>
    <row r="36" spans="1:13" x14ac:dyDescent="0.15">
      <c r="A36" s="9" t="s">
        <v>101</v>
      </c>
      <c r="B36" s="9" t="s">
        <v>102</v>
      </c>
      <c r="C36" s="9" t="s">
        <v>103</v>
      </c>
      <c r="D36" s="10"/>
      <c r="E36" s="12">
        <v>46.343594430000003</v>
      </c>
      <c r="F36" s="12">
        <v>33.959533499999999</v>
      </c>
      <c r="G36" s="12">
        <v>42.130555600000001</v>
      </c>
      <c r="H36" s="13">
        <f t="shared" si="0"/>
        <v>40.811227843333334</v>
      </c>
      <c r="I36" s="10"/>
      <c r="J36" s="12">
        <v>31.317054200000001</v>
      </c>
      <c r="K36" s="12">
        <v>40.464782700000001</v>
      </c>
      <c r="L36" s="12">
        <v>36.402669000000003</v>
      </c>
      <c r="M36" s="14">
        <f t="shared" si="1"/>
        <v>36.061501966666668</v>
      </c>
    </row>
    <row r="37" spans="1:13" x14ac:dyDescent="0.15">
      <c r="A37" s="9" t="s">
        <v>104</v>
      </c>
      <c r="B37" s="9" t="s">
        <v>105</v>
      </c>
      <c r="C37" s="9" t="s">
        <v>106</v>
      </c>
      <c r="D37" s="10"/>
      <c r="E37" s="12">
        <v>47.900205790000001</v>
      </c>
      <c r="F37" s="12">
        <v>31.866857</v>
      </c>
      <c r="G37" s="12">
        <v>41.284074599999997</v>
      </c>
      <c r="H37" s="13">
        <f t="shared" si="0"/>
        <v>40.35037913</v>
      </c>
      <c r="I37" s="10"/>
      <c r="J37" s="12">
        <v>29.9392189</v>
      </c>
      <c r="K37" s="12">
        <v>40.4172571</v>
      </c>
      <c r="L37" s="12">
        <v>33.802059800000002</v>
      </c>
      <c r="M37" s="14">
        <f t="shared" si="1"/>
        <v>34.719511933333337</v>
      </c>
    </row>
    <row r="38" spans="1:13" x14ac:dyDescent="0.15">
      <c r="A38" s="9" t="s">
        <v>107</v>
      </c>
      <c r="B38" s="9" t="s">
        <v>108</v>
      </c>
      <c r="C38" s="9" t="s">
        <v>109</v>
      </c>
      <c r="D38" s="10"/>
      <c r="E38" s="12">
        <v>51.078238560000003</v>
      </c>
      <c r="F38" s="12">
        <v>34.829220499999998</v>
      </c>
      <c r="G38" s="12">
        <v>45.951431700000001</v>
      </c>
      <c r="H38" s="13">
        <f t="shared" si="0"/>
        <v>43.952963586666669</v>
      </c>
      <c r="I38" s="10"/>
      <c r="J38" s="12">
        <v>29.9797589</v>
      </c>
      <c r="K38" s="12">
        <v>42.874010699999999</v>
      </c>
      <c r="L38" s="12">
        <v>36.693706900000002</v>
      </c>
      <c r="M38" s="14">
        <f t="shared" si="1"/>
        <v>36.515825499999998</v>
      </c>
    </row>
    <row r="39" spans="1:13" x14ac:dyDescent="0.15">
      <c r="A39" s="9" t="s">
        <v>110</v>
      </c>
      <c r="B39" s="9" t="s">
        <v>111</v>
      </c>
      <c r="C39" s="9" t="s">
        <v>112</v>
      </c>
      <c r="D39" s="10"/>
      <c r="E39" s="12">
        <v>50.146011199999997</v>
      </c>
      <c r="F39" s="12">
        <v>40.850425700000002</v>
      </c>
      <c r="G39" s="12">
        <v>47.568741799999998</v>
      </c>
      <c r="H39" s="13">
        <f t="shared" si="0"/>
        <v>46.188392899999997</v>
      </c>
      <c r="I39" s="10"/>
      <c r="J39" s="12">
        <v>30.5312406</v>
      </c>
      <c r="K39" s="12">
        <v>42.837888200000002</v>
      </c>
      <c r="L39" s="12">
        <v>35.577517</v>
      </c>
      <c r="M39" s="14">
        <f t="shared" si="1"/>
        <v>36.3155486</v>
      </c>
    </row>
    <row r="40" spans="1:13" x14ac:dyDescent="0.15">
      <c r="A40" s="9" t="s">
        <v>113</v>
      </c>
      <c r="B40" s="9" t="s">
        <v>114</v>
      </c>
      <c r="C40" s="9" t="s">
        <v>115</v>
      </c>
      <c r="D40" s="10"/>
      <c r="E40" s="12">
        <v>41.328537709999999</v>
      </c>
      <c r="F40" s="12">
        <v>27.200333199999999</v>
      </c>
      <c r="G40" s="12">
        <v>35.683324499999998</v>
      </c>
      <c r="H40" s="13">
        <f t="shared" si="0"/>
        <v>34.737398469999995</v>
      </c>
      <c r="I40" s="10"/>
      <c r="J40" s="12">
        <v>21.579936199999999</v>
      </c>
      <c r="K40" s="12">
        <v>33.870687199999999</v>
      </c>
      <c r="L40" s="12">
        <v>23.506353399999998</v>
      </c>
      <c r="M40" s="14">
        <f t="shared" si="1"/>
        <v>26.318992266666665</v>
      </c>
    </row>
    <row r="41" spans="1:13" x14ac:dyDescent="0.15">
      <c r="A41" s="9" t="s">
        <v>116</v>
      </c>
      <c r="B41" s="9" t="s">
        <v>117</v>
      </c>
      <c r="C41" s="9" t="s">
        <v>118</v>
      </c>
      <c r="D41" s="10"/>
      <c r="E41" s="12">
        <v>47.660390589999999</v>
      </c>
      <c r="F41" s="12">
        <v>28.939621200000001</v>
      </c>
      <c r="G41" s="12">
        <v>39.593491200000003</v>
      </c>
      <c r="H41" s="13">
        <f t="shared" si="0"/>
        <v>38.731167663333331</v>
      </c>
      <c r="I41" s="10"/>
      <c r="J41" s="12">
        <v>30.6457926</v>
      </c>
      <c r="K41" s="12">
        <v>33.030197999999999</v>
      </c>
      <c r="L41" s="12">
        <v>25.0754573</v>
      </c>
      <c r="M41" s="14">
        <f t="shared" si="1"/>
        <v>29.583815966666666</v>
      </c>
    </row>
    <row r="42" spans="1:13" x14ac:dyDescent="0.15">
      <c r="A42" s="9" t="s">
        <v>119</v>
      </c>
      <c r="B42" s="9" t="s">
        <v>120</v>
      </c>
      <c r="C42" s="9" t="s">
        <v>121</v>
      </c>
      <c r="D42" s="10"/>
      <c r="E42" s="12">
        <v>42.716925969999998</v>
      </c>
      <c r="F42" s="12">
        <v>27.672358299999999</v>
      </c>
      <c r="G42" s="12">
        <v>35.783718100000002</v>
      </c>
      <c r="H42" s="13">
        <f t="shared" si="0"/>
        <v>35.39100079</v>
      </c>
      <c r="I42" s="10"/>
      <c r="J42" s="12">
        <v>24.9699046</v>
      </c>
      <c r="K42" s="12">
        <v>30.702746600000001</v>
      </c>
      <c r="L42" s="12">
        <v>21.675000699999998</v>
      </c>
      <c r="M42" s="14">
        <f t="shared" si="1"/>
        <v>25.782550633333333</v>
      </c>
    </row>
    <row r="43" spans="1:13" x14ac:dyDescent="0.15">
      <c r="A43" s="9" t="s">
        <v>122</v>
      </c>
      <c r="B43" s="9" t="s">
        <v>123</v>
      </c>
      <c r="C43" s="9" t="s">
        <v>124</v>
      </c>
      <c r="D43" s="10"/>
      <c r="E43" s="12">
        <v>35.466830219999999</v>
      </c>
      <c r="F43" s="12">
        <v>22.864922799999999</v>
      </c>
      <c r="G43" s="12">
        <v>29.071166399999999</v>
      </c>
      <c r="H43" s="13">
        <f t="shared" si="0"/>
        <v>29.134306473333329</v>
      </c>
      <c r="I43" s="10"/>
      <c r="J43" s="12">
        <v>22.083294200000001</v>
      </c>
      <c r="K43" s="12">
        <v>24.614050800000001</v>
      </c>
      <c r="L43" s="12">
        <v>16.942527599999998</v>
      </c>
      <c r="M43" s="14">
        <f t="shared" si="1"/>
        <v>21.213290866666664</v>
      </c>
    </row>
    <row r="44" spans="1:13" x14ac:dyDescent="0.15">
      <c r="A44" s="9" t="s">
        <v>125</v>
      </c>
      <c r="B44" s="9" t="s">
        <v>126</v>
      </c>
      <c r="C44" s="9" t="s">
        <v>127</v>
      </c>
      <c r="D44" s="10"/>
      <c r="E44" s="12">
        <v>45.040177960000001</v>
      </c>
      <c r="F44" s="12">
        <v>31.522162999999999</v>
      </c>
      <c r="G44" s="12">
        <v>36.731207300000001</v>
      </c>
      <c r="H44" s="13">
        <f t="shared" si="0"/>
        <v>37.764516086666667</v>
      </c>
      <c r="I44" s="10"/>
      <c r="J44" s="12">
        <v>29.994990000000001</v>
      </c>
      <c r="K44" s="12">
        <v>34.337593200000001</v>
      </c>
      <c r="L44" s="12">
        <v>23.292410400000001</v>
      </c>
      <c r="M44" s="14">
        <f t="shared" si="1"/>
        <v>29.208331200000003</v>
      </c>
    </row>
    <row r="45" spans="1:13" x14ac:dyDescent="0.15">
      <c r="A45" s="9" t="s">
        <v>128</v>
      </c>
      <c r="B45" s="9" t="s">
        <v>129</v>
      </c>
      <c r="C45" s="9" t="s">
        <v>130</v>
      </c>
      <c r="D45" s="10"/>
      <c r="E45" s="12">
        <v>35.784656579999996</v>
      </c>
      <c r="F45" s="12">
        <v>28.206048599999999</v>
      </c>
      <c r="G45" s="12">
        <v>26.982561</v>
      </c>
      <c r="H45" s="13">
        <f t="shared" si="0"/>
        <v>30.32442206</v>
      </c>
      <c r="I45" s="10"/>
      <c r="J45" s="12">
        <v>20.561456799999998</v>
      </c>
      <c r="K45" s="12">
        <v>19.759620399999999</v>
      </c>
      <c r="L45" s="12">
        <v>16.224341200000001</v>
      </c>
      <c r="M45" s="14">
        <f t="shared" si="1"/>
        <v>18.8484728</v>
      </c>
    </row>
    <row r="46" spans="1:13" x14ac:dyDescent="0.15">
      <c r="A46" s="9" t="s">
        <v>131</v>
      </c>
      <c r="B46" s="9" t="s">
        <v>132</v>
      </c>
      <c r="C46" s="9" t="s">
        <v>133</v>
      </c>
      <c r="D46" s="10"/>
      <c r="E46" s="12">
        <v>46.044106169999999</v>
      </c>
      <c r="F46" s="12">
        <v>33.109265499999999</v>
      </c>
      <c r="G46" s="12">
        <v>36.122060099999999</v>
      </c>
      <c r="H46" s="13">
        <f t="shared" si="0"/>
        <v>38.42514392333333</v>
      </c>
      <c r="I46" s="10"/>
      <c r="J46" s="12">
        <v>21.416779999999999</v>
      </c>
      <c r="K46" s="12">
        <v>31.688188199999999</v>
      </c>
      <c r="L46" s="12">
        <v>31.066292300000001</v>
      </c>
      <c r="M46" s="14">
        <f t="shared" si="1"/>
        <v>28.057086833333333</v>
      </c>
    </row>
    <row r="47" spans="1:13" x14ac:dyDescent="0.15">
      <c r="A47" s="9" t="s">
        <v>134</v>
      </c>
      <c r="B47" s="9" t="s">
        <v>135</v>
      </c>
      <c r="C47" s="9" t="s">
        <v>136</v>
      </c>
      <c r="D47" s="10"/>
      <c r="E47" s="12">
        <v>36.121945199999999</v>
      </c>
      <c r="F47" s="12">
        <v>23.752483999999999</v>
      </c>
      <c r="G47" s="12">
        <v>28.468145400000001</v>
      </c>
      <c r="H47" s="13">
        <f t="shared" si="0"/>
        <v>29.447524866666665</v>
      </c>
      <c r="I47" s="10"/>
      <c r="J47" s="12">
        <v>21.124925999999999</v>
      </c>
      <c r="K47" s="12">
        <v>28.940813299999999</v>
      </c>
      <c r="L47" s="12">
        <v>18.302768799999999</v>
      </c>
      <c r="M47" s="14">
        <f t="shared" si="1"/>
        <v>22.7895027</v>
      </c>
    </row>
    <row r="48" spans="1:13" x14ac:dyDescent="0.15">
      <c r="A48" s="9" t="s">
        <v>137</v>
      </c>
      <c r="B48" s="9" t="s">
        <v>138</v>
      </c>
      <c r="C48" s="9" t="s">
        <v>139</v>
      </c>
      <c r="D48" s="10"/>
      <c r="E48" s="12">
        <v>46.396021789999999</v>
      </c>
      <c r="F48" s="12">
        <v>36.181061</v>
      </c>
      <c r="G48" s="12">
        <v>43.8096429</v>
      </c>
      <c r="H48" s="13">
        <f t="shared" si="0"/>
        <v>42.128908563333333</v>
      </c>
      <c r="I48" s="10"/>
      <c r="J48" s="12">
        <v>30.154522</v>
      </c>
      <c r="K48" s="12">
        <v>42.363474699999998</v>
      </c>
      <c r="L48" s="12">
        <v>35.8074443</v>
      </c>
      <c r="M48" s="14">
        <f t="shared" si="1"/>
        <v>36.108480333333333</v>
      </c>
    </row>
    <row r="49" spans="1:13" x14ac:dyDescent="0.15">
      <c r="A49" s="9" t="s">
        <v>140</v>
      </c>
      <c r="B49" s="9" t="s">
        <v>141</v>
      </c>
      <c r="C49" s="9" t="s">
        <v>142</v>
      </c>
      <c r="D49" s="10"/>
      <c r="E49" s="12">
        <v>46.298439360000003</v>
      </c>
      <c r="F49" s="12">
        <v>39.337279799999997</v>
      </c>
      <c r="G49" s="12">
        <v>43.709875699999998</v>
      </c>
      <c r="H49" s="13">
        <f t="shared" si="0"/>
        <v>43.115198286666669</v>
      </c>
      <c r="I49" s="10"/>
      <c r="J49" s="12">
        <v>27.681357299999998</v>
      </c>
      <c r="K49" s="12">
        <v>40.8868358</v>
      </c>
      <c r="L49" s="12">
        <v>36.644287800000001</v>
      </c>
      <c r="M49" s="14">
        <f t="shared" si="1"/>
        <v>35.070826966666665</v>
      </c>
    </row>
    <row r="50" spans="1:13" x14ac:dyDescent="0.15">
      <c r="A50" s="9" t="s">
        <v>143</v>
      </c>
      <c r="B50" s="9" t="s">
        <v>144</v>
      </c>
      <c r="C50" s="9" t="s">
        <v>145</v>
      </c>
      <c r="D50" s="10"/>
      <c r="E50" s="12">
        <v>46.30290299</v>
      </c>
      <c r="F50" s="12">
        <v>38.710599000000002</v>
      </c>
      <c r="G50" s="12">
        <v>44.403909499999997</v>
      </c>
      <c r="H50" s="13">
        <f t="shared" si="0"/>
        <v>43.139137163333338</v>
      </c>
      <c r="I50" s="10"/>
      <c r="J50" s="12">
        <v>30.890949800000001</v>
      </c>
      <c r="K50" s="12">
        <v>43.006973700000003</v>
      </c>
      <c r="L50" s="12">
        <v>37.195041699999997</v>
      </c>
      <c r="M50" s="14">
        <f t="shared" si="1"/>
        <v>37.030988400000005</v>
      </c>
    </row>
    <row r="51" spans="1:13" x14ac:dyDescent="0.15">
      <c r="A51" s="9" t="s">
        <v>146</v>
      </c>
      <c r="B51" s="9" t="s">
        <v>147</v>
      </c>
      <c r="C51" s="9" t="s">
        <v>148</v>
      </c>
      <c r="D51" s="10"/>
      <c r="E51" s="12">
        <v>41.279955119999997</v>
      </c>
      <c r="F51" s="12">
        <v>28.697219400000002</v>
      </c>
      <c r="G51" s="12">
        <v>35.739524199999998</v>
      </c>
      <c r="H51" s="13">
        <f t="shared" si="0"/>
        <v>35.238899573333335</v>
      </c>
      <c r="I51" s="10"/>
      <c r="J51" s="12">
        <v>27.085317100000001</v>
      </c>
      <c r="K51" s="12">
        <v>30.836236899999999</v>
      </c>
      <c r="L51" s="12">
        <v>21.894520400000001</v>
      </c>
      <c r="M51" s="14">
        <f t="shared" si="1"/>
        <v>26.605358133333336</v>
      </c>
    </row>
    <row r="52" spans="1:13" x14ac:dyDescent="0.15">
      <c r="A52" s="9" t="s">
        <v>149</v>
      </c>
      <c r="B52" s="9" t="s">
        <v>150</v>
      </c>
      <c r="C52" s="9" t="s">
        <v>151</v>
      </c>
      <c r="D52" s="10"/>
      <c r="E52" s="12">
        <v>41.915082179999999</v>
      </c>
      <c r="F52" s="12">
        <v>30.0371454</v>
      </c>
      <c r="G52" s="12">
        <v>35.9486317</v>
      </c>
      <c r="H52" s="13">
        <f t="shared" si="0"/>
        <v>35.966953093333331</v>
      </c>
      <c r="I52" s="10"/>
      <c r="J52" s="12">
        <v>25.061527699999999</v>
      </c>
      <c r="K52" s="12">
        <v>32.757797600000004</v>
      </c>
      <c r="L52" s="12">
        <v>23.4343659</v>
      </c>
      <c r="M52" s="14">
        <f t="shared" si="1"/>
        <v>27.084563733333336</v>
      </c>
    </row>
    <row r="53" spans="1:13" x14ac:dyDescent="0.15">
      <c r="A53" s="9" t="s">
        <v>152</v>
      </c>
      <c r="B53" s="9" t="s">
        <v>153</v>
      </c>
      <c r="C53" s="9" t="s">
        <v>154</v>
      </c>
      <c r="D53" s="10"/>
      <c r="E53" s="12">
        <v>41.488108310000001</v>
      </c>
      <c r="F53" s="12">
        <v>27.685034000000002</v>
      </c>
      <c r="G53" s="12">
        <v>37.5</v>
      </c>
      <c r="H53" s="13">
        <f t="shared" si="0"/>
        <v>35.557714103333332</v>
      </c>
      <c r="I53" s="10"/>
      <c r="J53" s="12">
        <v>20.911577900000001</v>
      </c>
      <c r="K53" s="12">
        <v>24.770788499999998</v>
      </c>
      <c r="L53" s="12">
        <v>20.3344965</v>
      </c>
      <c r="M53" s="14">
        <f t="shared" si="1"/>
        <v>22.005620966666669</v>
      </c>
    </row>
    <row r="54" spans="1:13" x14ac:dyDescent="0.15">
      <c r="A54" s="9" t="s">
        <v>155</v>
      </c>
      <c r="B54" s="9" t="s">
        <v>156</v>
      </c>
      <c r="C54" s="9" t="s">
        <v>157</v>
      </c>
      <c r="D54" s="10"/>
      <c r="E54" s="12">
        <v>43.635516590000002</v>
      </c>
      <c r="F54" s="12">
        <v>31.323914899999998</v>
      </c>
      <c r="G54" s="12">
        <v>38.192056100000002</v>
      </c>
      <c r="H54" s="13">
        <f t="shared" si="0"/>
        <v>37.717162530000003</v>
      </c>
      <c r="I54" s="10"/>
      <c r="J54" s="12">
        <v>25.996874500000001</v>
      </c>
      <c r="K54" s="12">
        <v>26.333809599999999</v>
      </c>
      <c r="L54" s="12">
        <v>20.672046999999999</v>
      </c>
      <c r="M54" s="14">
        <f t="shared" si="1"/>
        <v>24.334243700000002</v>
      </c>
    </row>
    <row r="55" spans="1:13" x14ac:dyDescent="0.15">
      <c r="A55" s="9" t="s">
        <v>158</v>
      </c>
      <c r="B55" s="9" t="s">
        <v>159</v>
      </c>
      <c r="C55" s="9" t="s">
        <v>160</v>
      </c>
      <c r="D55" s="10"/>
      <c r="E55" s="12">
        <v>38.973987309999998</v>
      </c>
      <c r="F55" s="12">
        <v>26.308494499999998</v>
      </c>
      <c r="G55" s="12">
        <v>32.008957100000003</v>
      </c>
      <c r="H55" s="13">
        <f t="shared" si="0"/>
        <v>32.430479636666668</v>
      </c>
      <c r="I55" s="10"/>
      <c r="J55" s="12">
        <v>25.011352299999999</v>
      </c>
      <c r="K55" s="12">
        <v>23.0229374</v>
      </c>
      <c r="L55" s="12">
        <v>20.827890799999999</v>
      </c>
      <c r="M55" s="14">
        <f t="shared" si="1"/>
        <v>22.954060166666665</v>
      </c>
    </row>
    <row r="56" spans="1:13" x14ac:dyDescent="0.15">
      <c r="A56" s="9" t="s">
        <v>161</v>
      </c>
      <c r="B56" s="9" t="s">
        <v>162</v>
      </c>
      <c r="C56" s="9" t="s">
        <v>163</v>
      </c>
      <c r="D56" s="10"/>
      <c r="E56" s="12">
        <v>35.538212039999998</v>
      </c>
      <c r="F56" s="12">
        <v>24.874012100000002</v>
      </c>
      <c r="G56" s="12">
        <v>26.928817299999999</v>
      </c>
      <c r="H56" s="13">
        <f t="shared" si="0"/>
        <v>29.113680479999999</v>
      </c>
      <c r="I56" s="10"/>
      <c r="J56" s="12">
        <v>15.607401400000001</v>
      </c>
      <c r="K56" s="12">
        <v>24.980469800000002</v>
      </c>
      <c r="L56" s="12">
        <v>23.060344799999999</v>
      </c>
      <c r="M56" s="14">
        <f t="shared" si="1"/>
        <v>21.216072</v>
      </c>
    </row>
    <row r="57" spans="1:13" x14ac:dyDescent="0.15">
      <c r="A57" s="9" t="s">
        <v>164</v>
      </c>
      <c r="B57" s="9" t="s">
        <v>165</v>
      </c>
      <c r="C57" s="9" t="s">
        <v>166</v>
      </c>
      <c r="D57" s="10"/>
      <c r="E57" s="12">
        <v>46.878792930000003</v>
      </c>
      <c r="F57" s="12">
        <v>34.269367600000002</v>
      </c>
      <c r="G57" s="12">
        <v>37.757336799999997</v>
      </c>
      <c r="H57" s="13">
        <f t="shared" si="0"/>
        <v>39.635165776666668</v>
      </c>
      <c r="I57" s="10"/>
      <c r="J57" s="12">
        <v>26.6502953</v>
      </c>
      <c r="K57" s="12">
        <v>34.8459431</v>
      </c>
      <c r="L57" s="12">
        <v>33.507221899999998</v>
      </c>
      <c r="M57" s="14">
        <f t="shared" si="1"/>
        <v>31.6678201</v>
      </c>
    </row>
    <row r="58" spans="1:13" x14ac:dyDescent="0.15">
      <c r="A58" s="9" t="s">
        <v>167</v>
      </c>
      <c r="B58" s="9" t="s">
        <v>168</v>
      </c>
      <c r="C58" s="9" t="s">
        <v>169</v>
      </c>
      <c r="D58" s="10"/>
      <c r="E58" s="12">
        <v>47.60855411</v>
      </c>
      <c r="F58" s="12">
        <v>38.857271500000003</v>
      </c>
      <c r="G58" s="12">
        <v>41.435421099999999</v>
      </c>
      <c r="H58" s="13">
        <f t="shared" si="0"/>
        <v>42.633748903333334</v>
      </c>
      <c r="I58" s="10"/>
      <c r="J58" s="12">
        <v>30.145763299999999</v>
      </c>
      <c r="K58" s="12">
        <v>39.851137799999997</v>
      </c>
      <c r="L58" s="12">
        <v>36.236562800000002</v>
      </c>
      <c r="M58" s="14">
        <f t="shared" si="1"/>
        <v>35.411154633333332</v>
      </c>
    </row>
    <row r="59" spans="1:13" x14ac:dyDescent="0.15">
      <c r="A59" s="9" t="s">
        <v>170</v>
      </c>
      <c r="B59" s="9" t="s">
        <v>171</v>
      </c>
      <c r="C59" s="9" t="s">
        <v>172</v>
      </c>
      <c r="D59" s="10"/>
      <c r="E59" s="12">
        <v>51.404419150000003</v>
      </c>
      <c r="F59" s="12">
        <v>37.597029999999997</v>
      </c>
      <c r="G59" s="12">
        <v>40.5504763</v>
      </c>
      <c r="H59" s="13">
        <f t="shared" si="0"/>
        <v>43.183975150000002</v>
      </c>
      <c r="I59" s="10"/>
      <c r="J59" s="12">
        <v>28.5137985</v>
      </c>
      <c r="K59" s="12">
        <v>38.288618100000001</v>
      </c>
      <c r="L59" s="12">
        <v>36.020852699999999</v>
      </c>
      <c r="M59" s="14">
        <f t="shared" si="1"/>
        <v>34.2744231</v>
      </c>
    </row>
    <row r="60" spans="1:13" x14ac:dyDescent="0.15">
      <c r="A60" s="9" t="s">
        <v>173</v>
      </c>
      <c r="B60" s="9" t="s">
        <v>174</v>
      </c>
      <c r="C60" s="9" t="s">
        <v>175</v>
      </c>
      <c r="D60" s="10"/>
      <c r="E60" s="12">
        <v>43.707185260000003</v>
      </c>
      <c r="F60" s="12">
        <v>29.449846699999998</v>
      </c>
      <c r="G60" s="12">
        <v>35.830628400000002</v>
      </c>
      <c r="H60" s="13">
        <f t="shared" si="0"/>
        <v>36.329220120000002</v>
      </c>
      <c r="I60" s="10"/>
      <c r="J60" s="12">
        <v>23.0661874</v>
      </c>
      <c r="K60" s="12">
        <v>28.4688196</v>
      </c>
      <c r="L60" s="12">
        <v>25.688701600000002</v>
      </c>
      <c r="M60" s="14">
        <f t="shared" si="1"/>
        <v>25.741236200000003</v>
      </c>
    </row>
    <row r="61" spans="1:13" x14ac:dyDescent="0.15">
      <c r="A61" s="9" t="s">
        <v>176</v>
      </c>
      <c r="B61" s="9" t="s">
        <v>177</v>
      </c>
      <c r="C61" s="9" t="s">
        <v>178</v>
      </c>
      <c r="D61" s="10"/>
      <c r="E61" s="12">
        <v>40.582852600000002</v>
      </c>
      <c r="F61" s="12">
        <v>32.427051900000002</v>
      </c>
      <c r="G61" s="12">
        <v>35.524801600000004</v>
      </c>
      <c r="H61" s="13">
        <f t="shared" si="0"/>
        <v>36.178235366666669</v>
      </c>
      <c r="I61" s="10"/>
      <c r="J61" s="12">
        <v>19.244080100000001</v>
      </c>
      <c r="K61" s="12">
        <v>24.6635071</v>
      </c>
      <c r="L61" s="12">
        <v>23.916545800000002</v>
      </c>
      <c r="M61" s="14">
        <f t="shared" si="1"/>
        <v>22.608044333333336</v>
      </c>
    </row>
    <row r="62" spans="1:13" x14ac:dyDescent="0.15">
      <c r="A62" s="9" t="s">
        <v>179</v>
      </c>
      <c r="B62" s="9" t="s">
        <v>180</v>
      </c>
      <c r="C62" s="9" t="s">
        <v>181</v>
      </c>
      <c r="D62" s="10"/>
      <c r="E62" s="12">
        <v>47.773882039999997</v>
      </c>
      <c r="F62" s="12">
        <v>34.341559599999997</v>
      </c>
      <c r="G62" s="12">
        <v>44.130952000000001</v>
      </c>
      <c r="H62" s="13">
        <f t="shared" si="0"/>
        <v>42.082131213333334</v>
      </c>
      <c r="I62" s="10"/>
      <c r="J62" s="12">
        <v>26.939442100000001</v>
      </c>
      <c r="K62" s="12">
        <v>35.826814400000004</v>
      </c>
      <c r="L62" s="12">
        <v>34.696126200000002</v>
      </c>
      <c r="M62" s="14">
        <f t="shared" si="1"/>
        <v>32.487460900000002</v>
      </c>
    </row>
    <row r="63" spans="1:13" x14ac:dyDescent="0.15">
      <c r="A63" s="9" t="s">
        <v>182</v>
      </c>
      <c r="B63" s="9" t="s">
        <v>183</v>
      </c>
      <c r="C63" s="9" t="s">
        <v>184</v>
      </c>
      <c r="D63" s="10"/>
      <c r="E63" s="12">
        <v>47.222534369999998</v>
      </c>
      <c r="F63" s="12">
        <v>39.2629552</v>
      </c>
      <c r="G63" s="12">
        <v>45.8444614</v>
      </c>
      <c r="H63" s="13">
        <f t="shared" si="0"/>
        <v>44.109983656666664</v>
      </c>
      <c r="I63" s="10"/>
      <c r="J63" s="12">
        <v>26.015070000000001</v>
      </c>
      <c r="K63" s="12">
        <v>37.111141600000003</v>
      </c>
      <c r="L63" s="12">
        <v>32.131048200000002</v>
      </c>
      <c r="M63" s="14">
        <f t="shared" si="1"/>
        <v>31.752419933333339</v>
      </c>
    </row>
    <row r="64" spans="1:13" x14ac:dyDescent="0.15">
      <c r="A64" s="15" t="s">
        <v>185</v>
      </c>
      <c r="B64" s="15" t="s">
        <v>186</v>
      </c>
      <c r="C64" s="15" t="s">
        <v>187</v>
      </c>
      <c r="D64" s="16"/>
      <c r="E64" s="12">
        <v>51.849481900000001</v>
      </c>
      <c r="F64" s="12">
        <v>17.7466002</v>
      </c>
      <c r="G64" s="12">
        <v>0.35342626999999999</v>
      </c>
      <c r="H64" s="12">
        <f t="shared" si="0"/>
        <v>23.316502790000001</v>
      </c>
      <c r="I64" s="16"/>
      <c r="J64" s="12">
        <v>32.415343499999999</v>
      </c>
      <c r="K64" s="12">
        <v>44.133635300000002</v>
      </c>
      <c r="L64" s="12">
        <v>37.558722000000003</v>
      </c>
      <c r="M64" s="17">
        <f t="shared" si="1"/>
        <v>38.035900266666665</v>
      </c>
    </row>
    <row r="65" spans="1:13" x14ac:dyDescent="0.15">
      <c r="A65" s="9" t="s">
        <v>188</v>
      </c>
      <c r="B65" s="9" t="s">
        <v>189</v>
      </c>
      <c r="C65" s="9" t="s">
        <v>190</v>
      </c>
      <c r="D65" s="10"/>
      <c r="E65" s="12">
        <v>42.487398220000003</v>
      </c>
      <c r="F65" s="12">
        <v>34.7821134</v>
      </c>
      <c r="G65" s="12">
        <v>33.363266299999999</v>
      </c>
      <c r="H65" s="13">
        <f t="shared" si="0"/>
        <v>36.877592639999996</v>
      </c>
      <c r="I65" s="10"/>
      <c r="J65" s="12">
        <v>18.266932300000001</v>
      </c>
      <c r="K65" s="12">
        <v>23.301409</v>
      </c>
      <c r="L65" s="12">
        <v>18.9493014</v>
      </c>
      <c r="M65" s="14">
        <f t="shared" si="1"/>
        <v>20.172547566666665</v>
      </c>
    </row>
    <row r="66" spans="1:13" x14ac:dyDescent="0.15">
      <c r="A66" s="9" t="s">
        <v>191</v>
      </c>
      <c r="B66" s="9" t="s">
        <v>192</v>
      </c>
      <c r="C66" s="9" t="s">
        <v>193</v>
      </c>
      <c r="D66" s="10"/>
      <c r="E66" s="12">
        <v>47.715453599999996</v>
      </c>
      <c r="F66" s="12">
        <v>45.797263899999997</v>
      </c>
      <c r="G66" s="12">
        <v>45.312102199999998</v>
      </c>
      <c r="H66" s="13">
        <f t="shared" si="0"/>
        <v>46.274939899999993</v>
      </c>
      <c r="I66" s="10"/>
      <c r="J66" s="12">
        <v>29.310217600000001</v>
      </c>
      <c r="K66" s="12">
        <v>40.692408399999998</v>
      </c>
      <c r="L66" s="12">
        <v>36.278783400000002</v>
      </c>
      <c r="M66" s="14">
        <f t="shared" si="1"/>
        <v>35.427136466666667</v>
      </c>
    </row>
    <row r="67" spans="1:13" x14ac:dyDescent="0.15">
      <c r="A67" s="9" t="s">
        <v>194</v>
      </c>
      <c r="B67" s="9" t="s">
        <v>195</v>
      </c>
      <c r="C67" s="9" t="s">
        <v>196</v>
      </c>
      <c r="D67" s="10"/>
      <c r="E67" s="12">
        <v>50.276286900000002</v>
      </c>
      <c r="F67" s="12">
        <v>48.423000500000001</v>
      </c>
      <c r="G67" s="12">
        <v>47.499277200000002</v>
      </c>
      <c r="H67" s="13">
        <f t="shared" si="0"/>
        <v>48.732854866666663</v>
      </c>
      <c r="I67" s="10"/>
      <c r="J67" s="12">
        <v>29.838298999999999</v>
      </c>
      <c r="K67" s="12">
        <v>42.392151499999997</v>
      </c>
      <c r="L67" s="12">
        <v>42.322730399999998</v>
      </c>
      <c r="M67" s="14">
        <f t="shared" si="1"/>
        <v>38.184393633333329</v>
      </c>
    </row>
    <row r="68" spans="1:13" x14ac:dyDescent="0.15">
      <c r="A68" s="9" t="s">
        <v>197</v>
      </c>
      <c r="B68" s="9" t="s">
        <v>198</v>
      </c>
      <c r="C68" s="9" t="s">
        <v>199</v>
      </c>
      <c r="D68" s="10"/>
      <c r="E68" s="12">
        <v>42.908845800000002</v>
      </c>
      <c r="F68" s="12">
        <v>44.376119299999999</v>
      </c>
      <c r="G68" s="12">
        <v>43.212248199999998</v>
      </c>
      <c r="H68" s="13">
        <f t="shared" si="0"/>
        <v>43.499071100000002</v>
      </c>
      <c r="I68" s="10"/>
      <c r="J68" s="12">
        <v>33.309127699999998</v>
      </c>
      <c r="K68" s="12">
        <v>39.1049316</v>
      </c>
      <c r="L68" s="12">
        <v>41.6289169</v>
      </c>
      <c r="M68" s="14">
        <f t="shared" si="1"/>
        <v>38.014325399999997</v>
      </c>
    </row>
    <row r="69" spans="1:13" x14ac:dyDescent="0.15">
      <c r="A69" s="9" t="s">
        <v>200</v>
      </c>
      <c r="B69" s="9" t="s">
        <v>201</v>
      </c>
      <c r="C69" s="9" t="s">
        <v>202</v>
      </c>
      <c r="D69" s="10"/>
      <c r="E69" s="12">
        <v>48.732015699999998</v>
      </c>
      <c r="F69" s="12">
        <v>47.542512299999999</v>
      </c>
      <c r="G69" s="12">
        <v>43.8768411</v>
      </c>
      <c r="H69" s="13">
        <f t="shared" si="0"/>
        <v>46.717123033333337</v>
      </c>
      <c r="I69" s="10"/>
      <c r="J69" s="12">
        <v>27.848702200000002</v>
      </c>
      <c r="K69" s="12">
        <v>37.096308800000003</v>
      </c>
      <c r="L69" s="12">
        <v>38.420099</v>
      </c>
      <c r="M69" s="14">
        <f t="shared" si="1"/>
        <v>34.455036666666672</v>
      </c>
    </row>
    <row r="70" spans="1:13" x14ac:dyDescent="0.15">
      <c r="A70" s="9" t="s">
        <v>203</v>
      </c>
      <c r="B70" s="9" t="s">
        <v>204</v>
      </c>
      <c r="C70" s="9" t="s">
        <v>205</v>
      </c>
      <c r="D70" s="10"/>
      <c r="E70" s="12">
        <v>48.294424999999997</v>
      </c>
      <c r="F70" s="12">
        <v>44.914780299999997</v>
      </c>
      <c r="G70" s="12">
        <v>46.112472599999997</v>
      </c>
      <c r="H70" s="13">
        <f t="shared" si="0"/>
        <v>46.440559299999997</v>
      </c>
      <c r="I70" s="10"/>
      <c r="J70" s="12">
        <v>31.452853099999999</v>
      </c>
      <c r="K70" s="12">
        <v>38.599836600000003</v>
      </c>
      <c r="L70" s="12">
        <v>37.609448200000003</v>
      </c>
      <c r="M70" s="14">
        <f t="shared" si="1"/>
        <v>35.887379299999999</v>
      </c>
    </row>
    <row r="71" spans="1:13" x14ac:dyDescent="0.15">
      <c r="A71" s="9" t="s">
        <v>206</v>
      </c>
      <c r="B71" s="9" t="s">
        <v>207</v>
      </c>
      <c r="C71" s="9" t="s">
        <v>208</v>
      </c>
      <c r="D71" s="10"/>
      <c r="E71" s="12">
        <v>49.220083000000002</v>
      </c>
      <c r="F71" s="12">
        <v>44.463701299999997</v>
      </c>
      <c r="G71" s="12">
        <v>42.971308200000003</v>
      </c>
      <c r="H71" s="13">
        <f t="shared" ref="H71:H134" si="2">AVERAGE(E71:G71)</f>
        <v>45.551697499999996</v>
      </c>
      <c r="I71" s="10"/>
      <c r="J71" s="12">
        <v>32.7224431</v>
      </c>
      <c r="K71" s="12">
        <v>43.854380800000001</v>
      </c>
      <c r="L71" s="12">
        <v>39.1693894</v>
      </c>
      <c r="M71" s="14">
        <f t="shared" ref="M71:M134" si="3">AVERAGE(J71:L71)</f>
        <v>38.5820711</v>
      </c>
    </row>
    <row r="72" spans="1:13" x14ac:dyDescent="0.15">
      <c r="A72" s="9" t="s">
        <v>209</v>
      </c>
      <c r="B72" s="9" t="s">
        <v>210</v>
      </c>
      <c r="C72" s="9" t="s">
        <v>211</v>
      </c>
      <c r="D72" s="10"/>
      <c r="E72" s="12">
        <v>46.6399714</v>
      </c>
      <c r="F72" s="12">
        <v>45.006995500000002</v>
      </c>
      <c r="G72" s="12">
        <v>45.8539028</v>
      </c>
      <c r="H72" s="13">
        <f t="shared" si="2"/>
        <v>45.833623233333334</v>
      </c>
      <c r="I72" s="10"/>
      <c r="J72" s="12">
        <v>28.891329299999999</v>
      </c>
      <c r="K72" s="12">
        <v>36.978328400000002</v>
      </c>
      <c r="L72" s="12">
        <v>37.592233</v>
      </c>
      <c r="M72" s="14">
        <f t="shared" si="3"/>
        <v>34.487296899999997</v>
      </c>
    </row>
    <row r="73" spans="1:13" x14ac:dyDescent="0.15">
      <c r="A73" s="9" t="s">
        <v>212</v>
      </c>
      <c r="B73" s="9" t="s">
        <v>213</v>
      </c>
      <c r="C73" s="9" t="s">
        <v>214</v>
      </c>
      <c r="D73" s="10"/>
      <c r="E73" s="12">
        <v>45.461408499999997</v>
      </c>
      <c r="F73" s="12">
        <v>42.300189899999999</v>
      </c>
      <c r="G73" s="12">
        <v>43.243529899999999</v>
      </c>
      <c r="H73" s="13">
        <f t="shared" si="2"/>
        <v>43.668376099999996</v>
      </c>
      <c r="I73" s="10"/>
      <c r="J73" s="12">
        <v>29.904339100000001</v>
      </c>
      <c r="K73" s="12">
        <v>39.781588200000002</v>
      </c>
      <c r="L73" s="12">
        <v>36.199886499999998</v>
      </c>
      <c r="M73" s="14">
        <f t="shared" si="3"/>
        <v>35.295271266666667</v>
      </c>
    </row>
    <row r="74" spans="1:13" x14ac:dyDescent="0.15">
      <c r="A74" s="9" t="s">
        <v>215</v>
      </c>
      <c r="B74" s="9" t="s">
        <v>216</v>
      </c>
      <c r="C74" s="9" t="s">
        <v>217</v>
      </c>
      <c r="D74" s="10"/>
      <c r="E74" s="12">
        <v>46.382703399999997</v>
      </c>
      <c r="F74" s="12">
        <v>44.911203100000002</v>
      </c>
      <c r="G74" s="12">
        <v>41.326111500000003</v>
      </c>
      <c r="H74" s="13">
        <f t="shared" si="2"/>
        <v>44.206672666666663</v>
      </c>
      <c r="I74" s="10"/>
      <c r="J74" s="12">
        <v>32.235298800000002</v>
      </c>
      <c r="K74" s="12">
        <v>36.533571700000003</v>
      </c>
      <c r="L74" s="12">
        <v>35.056096699999998</v>
      </c>
      <c r="M74" s="14">
        <f t="shared" si="3"/>
        <v>34.608322399999999</v>
      </c>
    </row>
    <row r="75" spans="1:13" x14ac:dyDescent="0.15">
      <c r="A75" s="9" t="s">
        <v>218</v>
      </c>
      <c r="B75" s="9" t="s">
        <v>219</v>
      </c>
      <c r="C75" s="9" t="s">
        <v>220</v>
      </c>
      <c r="D75" s="10"/>
      <c r="E75" s="12">
        <v>47.755754000000003</v>
      </c>
      <c r="F75" s="12">
        <v>41.879728499999999</v>
      </c>
      <c r="G75" s="12">
        <v>40.742490599999996</v>
      </c>
      <c r="H75" s="13">
        <f t="shared" si="2"/>
        <v>43.459324366666664</v>
      </c>
      <c r="I75" s="10"/>
      <c r="J75" s="12">
        <v>30.678801</v>
      </c>
      <c r="K75" s="12">
        <v>43.501622699999999</v>
      </c>
      <c r="L75" s="12">
        <v>36.1684737</v>
      </c>
      <c r="M75" s="14">
        <f t="shared" si="3"/>
        <v>36.782965799999999</v>
      </c>
    </row>
    <row r="76" spans="1:13" x14ac:dyDescent="0.15">
      <c r="A76" s="9" t="s">
        <v>221</v>
      </c>
      <c r="B76" s="9" t="s">
        <v>222</v>
      </c>
      <c r="C76" s="9" t="s">
        <v>223</v>
      </c>
      <c r="D76" s="10"/>
      <c r="E76" s="12">
        <v>44.697333899999997</v>
      </c>
      <c r="F76" s="12">
        <v>36.305542600000003</v>
      </c>
      <c r="G76" s="12">
        <v>36.938688300000003</v>
      </c>
      <c r="H76" s="13">
        <f t="shared" si="2"/>
        <v>39.313854933333339</v>
      </c>
      <c r="I76" s="10"/>
      <c r="J76" s="12">
        <v>25.067690299999999</v>
      </c>
      <c r="K76" s="12">
        <v>25.667233199999998</v>
      </c>
      <c r="L76" s="12">
        <v>33.382705600000001</v>
      </c>
      <c r="M76" s="14">
        <f t="shared" si="3"/>
        <v>28.039209699999997</v>
      </c>
    </row>
    <row r="77" spans="1:13" x14ac:dyDescent="0.15">
      <c r="A77" s="9" t="s">
        <v>224</v>
      </c>
      <c r="B77" s="9" t="s">
        <v>225</v>
      </c>
      <c r="C77" s="9" t="s">
        <v>226</v>
      </c>
      <c r="D77" s="10"/>
      <c r="E77" s="12">
        <v>42.7405489</v>
      </c>
      <c r="F77" s="12">
        <v>44.102534400000003</v>
      </c>
      <c r="G77" s="12">
        <v>44.330967200000003</v>
      </c>
      <c r="H77" s="13">
        <f t="shared" si="2"/>
        <v>43.724683500000005</v>
      </c>
      <c r="I77" s="10"/>
      <c r="J77" s="12">
        <v>30.142199399999999</v>
      </c>
      <c r="K77" s="12">
        <v>38.495628699999997</v>
      </c>
      <c r="L77" s="12">
        <v>35.6804287</v>
      </c>
      <c r="M77" s="14">
        <f t="shared" si="3"/>
        <v>34.772752266666664</v>
      </c>
    </row>
    <row r="78" spans="1:13" x14ac:dyDescent="0.15">
      <c r="A78" s="9" t="s">
        <v>227</v>
      </c>
      <c r="B78" s="9" t="s">
        <v>228</v>
      </c>
      <c r="C78" s="9" t="s">
        <v>229</v>
      </c>
      <c r="D78" s="10"/>
      <c r="E78" s="12">
        <v>43.806158799999999</v>
      </c>
      <c r="F78" s="12">
        <v>40.955986000000003</v>
      </c>
      <c r="G78" s="12">
        <v>42.424906200000002</v>
      </c>
      <c r="H78" s="13">
        <f t="shared" si="2"/>
        <v>42.395683666666663</v>
      </c>
      <c r="I78" s="10"/>
      <c r="J78" s="12">
        <v>26.182823299999999</v>
      </c>
      <c r="K78" s="12">
        <v>36.3315737</v>
      </c>
      <c r="L78" s="12">
        <v>30.4136731</v>
      </c>
      <c r="M78" s="14">
        <f t="shared" si="3"/>
        <v>30.976023366666666</v>
      </c>
    </row>
    <row r="79" spans="1:13" x14ac:dyDescent="0.15">
      <c r="A79" s="9" t="s">
        <v>230</v>
      </c>
      <c r="B79" s="9" t="s">
        <v>231</v>
      </c>
      <c r="C79" s="9" t="s">
        <v>232</v>
      </c>
      <c r="D79" s="10"/>
      <c r="E79" s="12">
        <v>41.860031800000002</v>
      </c>
      <c r="F79" s="12">
        <v>43.396614300000003</v>
      </c>
      <c r="G79" s="12">
        <v>43.070121499999999</v>
      </c>
      <c r="H79" s="13">
        <f t="shared" si="2"/>
        <v>42.775589200000006</v>
      </c>
      <c r="I79" s="10"/>
      <c r="J79" s="12">
        <v>21.053812000000001</v>
      </c>
      <c r="K79" s="12">
        <v>31.828539800000001</v>
      </c>
      <c r="L79" s="12">
        <v>30.197122100000001</v>
      </c>
      <c r="M79" s="14">
        <f t="shared" si="3"/>
        <v>27.693157966666671</v>
      </c>
    </row>
    <row r="80" spans="1:13" x14ac:dyDescent="0.15">
      <c r="A80" s="9" t="s">
        <v>233</v>
      </c>
      <c r="B80" s="9" t="s">
        <v>234</v>
      </c>
      <c r="C80" s="9" t="s">
        <v>235</v>
      </c>
      <c r="D80" s="10"/>
      <c r="E80" s="12">
        <v>38.1242065</v>
      </c>
      <c r="F80" s="12">
        <v>40.549323100000002</v>
      </c>
      <c r="G80" s="12">
        <v>41.477777500000002</v>
      </c>
      <c r="H80" s="13">
        <f t="shared" si="2"/>
        <v>40.050435700000001</v>
      </c>
      <c r="I80" s="10"/>
      <c r="J80" s="12">
        <v>32.311020599999999</v>
      </c>
      <c r="K80" s="12">
        <v>37.938413599999997</v>
      </c>
      <c r="L80" s="12">
        <v>34.198220300000003</v>
      </c>
      <c r="M80" s="14">
        <f t="shared" si="3"/>
        <v>34.815884833333335</v>
      </c>
    </row>
    <row r="81" spans="1:13" x14ac:dyDescent="0.15">
      <c r="A81" s="9" t="s">
        <v>236</v>
      </c>
      <c r="B81" s="9" t="s">
        <v>237</v>
      </c>
      <c r="C81" s="9" t="s">
        <v>238</v>
      </c>
      <c r="D81" s="10"/>
      <c r="E81" s="12">
        <v>45.621988600000002</v>
      </c>
      <c r="F81" s="12">
        <v>43.463684399999998</v>
      </c>
      <c r="G81" s="12">
        <v>40.751130799999999</v>
      </c>
      <c r="H81" s="13">
        <f t="shared" si="2"/>
        <v>43.278934599999992</v>
      </c>
      <c r="I81" s="10"/>
      <c r="J81" s="12">
        <v>30.2795977</v>
      </c>
      <c r="K81" s="12">
        <v>36.560752800000003</v>
      </c>
      <c r="L81" s="12">
        <v>36.5753396</v>
      </c>
      <c r="M81" s="14">
        <f t="shared" si="3"/>
        <v>34.471896700000002</v>
      </c>
    </row>
    <row r="82" spans="1:13" x14ac:dyDescent="0.15">
      <c r="A82" s="9" t="s">
        <v>239</v>
      </c>
      <c r="B82" s="9" t="s">
        <v>240</v>
      </c>
      <c r="C82" s="9" t="s">
        <v>241</v>
      </c>
      <c r="D82" s="10"/>
      <c r="E82" s="12">
        <v>37.466956400000001</v>
      </c>
      <c r="F82" s="12">
        <v>37.263393299999997</v>
      </c>
      <c r="G82" s="12">
        <v>38.091601400000002</v>
      </c>
      <c r="H82" s="13">
        <f t="shared" si="2"/>
        <v>37.607317033333338</v>
      </c>
      <c r="I82" s="10"/>
      <c r="J82" s="12">
        <v>28.3193248</v>
      </c>
      <c r="K82" s="12">
        <v>32.273944700000001</v>
      </c>
      <c r="L82" s="12">
        <v>22.697396000000001</v>
      </c>
      <c r="M82" s="14">
        <f t="shared" si="3"/>
        <v>27.763555166666666</v>
      </c>
    </row>
    <row r="83" spans="1:13" x14ac:dyDescent="0.15">
      <c r="A83" s="9" t="s">
        <v>242</v>
      </c>
      <c r="B83" s="9" t="s">
        <v>243</v>
      </c>
      <c r="C83" s="9" t="s">
        <v>244</v>
      </c>
      <c r="D83" s="10"/>
      <c r="E83" s="12">
        <v>41.949970800000003</v>
      </c>
      <c r="F83" s="12">
        <v>38.005222000000003</v>
      </c>
      <c r="G83" s="12">
        <v>39.945036799999997</v>
      </c>
      <c r="H83" s="13">
        <f t="shared" si="2"/>
        <v>39.966743200000003</v>
      </c>
      <c r="I83" s="10"/>
      <c r="J83" s="12">
        <v>24.938343499999998</v>
      </c>
      <c r="K83" s="12">
        <v>37.676338299999998</v>
      </c>
      <c r="L83" s="12">
        <v>31.9103496</v>
      </c>
      <c r="M83" s="14">
        <f t="shared" si="3"/>
        <v>31.508343800000002</v>
      </c>
    </row>
    <row r="84" spans="1:13" x14ac:dyDescent="0.15">
      <c r="A84" s="9" t="s">
        <v>245</v>
      </c>
      <c r="B84" s="9" t="s">
        <v>246</v>
      </c>
      <c r="C84" s="9" t="s">
        <v>247</v>
      </c>
      <c r="D84" s="10"/>
      <c r="E84" s="12">
        <v>38.615533800000001</v>
      </c>
      <c r="F84" s="12">
        <v>36.518450899999998</v>
      </c>
      <c r="G84" s="12">
        <v>38.758759699999999</v>
      </c>
      <c r="H84" s="13">
        <f t="shared" si="2"/>
        <v>37.964248133333335</v>
      </c>
      <c r="I84" s="10"/>
      <c r="J84" s="12">
        <v>27.299574700000001</v>
      </c>
      <c r="K84" s="12">
        <v>34.7388932</v>
      </c>
      <c r="L84" s="12">
        <v>29.486553799999999</v>
      </c>
      <c r="M84" s="14">
        <f t="shared" si="3"/>
        <v>30.508340566666664</v>
      </c>
    </row>
    <row r="85" spans="1:13" x14ac:dyDescent="0.15">
      <c r="A85" s="9" t="s">
        <v>248</v>
      </c>
      <c r="B85" s="9" t="s">
        <v>249</v>
      </c>
      <c r="C85" s="9" t="s">
        <v>250</v>
      </c>
      <c r="D85" s="10"/>
      <c r="E85" s="12">
        <v>41.1494997</v>
      </c>
      <c r="F85" s="12">
        <v>37.641951599999999</v>
      </c>
      <c r="G85" s="12">
        <v>35.894989199999998</v>
      </c>
      <c r="H85" s="13">
        <f t="shared" si="2"/>
        <v>38.228813500000001</v>
      </c>
      <c r="I85" s="10"/>
      <c r="J85" s="12">
        <v>29.674811800000001</v>
      </c>
      <c r="K85" s="12">
        <v>32.069574199999998</v>
      </c>
      <c r="L85" s="12">
        <v>23.634471600000001</v>
      </c>
      <c r="M85" s="14">
        <f t="shared" si="3"/>
        <v>28.459619200000002</v>
      </c>
    </row>
    <row r="86" spans="1:13" x14ac:dyDescent="0.15">
      <c r="A86" s="15" t="s">
        <v>251</v>
      </c>
      <c r="B86" s="15" t="s">
        <v>252</v>
      </c>
      <c r="C86" s="15" t="s">
        <v>253</v>
      </c>
      <c r="D86" s="16"/>
      <c r="E86" s="12">
        <v>35.851280000000003</v>
      </c>
      <c r="F86" s="12">
        <v>36.690059400000003</v>
      </c>
      <c r="G86" s="12">
        <v>37.950530000000001</v>
      </c>
      <c r="H86" s="12">
        <f t="shared" si="2"/>
        <v>36.830623133333333</v>
      </c>
      <c r="I86" s="16"/>
      <c r="J86" s="12">
        <v>14.704350099999999</v>
      </c>
      <c r="K86" s="12">
        <v>19.883560500000002</v>
      </c>
      <c r="L86" s="12">
        <v>20.952723443058787</v>
      </c>
      <c r="M86" s="17">
        <f t="shared" si="3"/>
        <v>18.513544681019596</v>
      </c>
    </row>
    <row r="87" spans="1:13" x14ac:dyDescent="0.15">
      <c r="A87" s="15" t="s">
        <v>254</v>
      </c>
      <c r="B87" s="15" t="s">
        <v>255</v>
      </c>
      <c r="C87" s="15" t="s">
        <v>256</v>
      </c>
      <c r="D87" s="16"/>
      <c r="E87" s="12">
        <v>21.466172700000001</v>
      </c>
      <c r="F87" s="12">
        <v>18.5087817</v>
      </c>
      <c r="G87" s="12">
        <v>16.026339499999999</v>
      </c>
      <c r="H87" s="12">
        <f t="shared" si="2"/>
        <v>18.667097966666667</v>
      </c>
      <c r="I87" s="16"/>
      <c r="J87" s="12">
        <v>17.0487231</v>
      </c>
      <c r="K87" s="12">
        <v>15.8397332</v>
      </c>
      <c r="L87" s="12">
        <v>20.785193906836412</v>
      </c>
      <c r="M87" s="17">
        <f t="shared" si="3"/>
        <v>17.891216735612137</v>
      </c>
    </row>
    <row r="88" spans="1:13" x14ac:dyDescent="0.15">
      <c r="A88" s="15" t="s">
        <v>257</v>
      </c>
      <c r="B88" s="15" t="s">
        <v>258</v>
      </c>
      <c r="C88" s="15" t="s">
        <v>259</v>
      </c>
      <c r="D88" s="16"/>
      <c r="E88" s="12">
        <v>35.872945000000001</v>
      </c>
      <c r="F88" s="12">
        <v>35.273170899999997</v>
      </c>
      <c r="G88" s="12">
        <v>34.786528599999997</v>
      </c>
      <c r="H88" s="12">
        <f t="shared" si="2"/>
        <v>35.310881500000001</v>
      </c>
      <c r="I88" s="16"/>
      <c r="J88" s="12">
        <v>20.631886900000001</v>
      </c>
      <c r="K88" s="12">
        <v>26.598316499999999</v>
      </c>
      <c r="L88" s="12">
        <v>28.739305226265333</v>
      </c>
      <c r="M88" s="17">
        <f t="shared" si="3"/>
        <v>25.323169542088447</v>
      </c>
    </row>
    <row r="89" spans="1:13" x14ac:dyDescent="0.15">
      <c r="A89" s="15" t="s">
        <v>260</v>
      </c>
      <c r="B89" s="15" t="s">
        <v>261</v>
      </c>
      <c r="C89" s="15" t="s">
        <v>262</v>
      </c>
      <c r="D89" s="16"/>
      <c r="E89" s="12">
        <v>39.314180200000003</v>
      </c>
      <c r="F89" s="12">
        <v>40.773575899999997</v>
      </c>
      <c r="G89" s="12">
        <v>41.911049200000001</v>
      </c>
      <c r="H89" s="12">
        <f t="shared" si="2"/>
        <v>40.666268433333336</v>
      </c>
      <c r="I89" s="16"/>
      <c r="J89" s="12">
        <v>24.5128454</v>
      </c>
      <c r="K89" s="12">
        <v>31.484311000000002</v>
      </c>
      <c r="L89" s="12">
        <v>31.70137894349196</v>
      </c>
      <c r="M89" s="17">
        <f t="shared" si="3"/>
        <v>29.232845114497319</v>
      </c>
    </row>
    <row r="90" spans="1:13" x14ac:dyDescent="0.15">
      <c r="A90" s="15" t="s">
        <v>263</v>
      </c>
      <c r="B90" s="15" t="s">
        <v>264</v>
      </c>
      <c r="C90" s="15" t="s">
        <v>265</v>
      </c>
      <c r="D90" s="16"/>
      <c r="E90" s="12">
        <v>35.375875999999998</v>
      </c>
      <c r="F90" s="12">
        <v>42.9962029</v>
      </c>
      <c r="G90" s="12">
        <v>44.9222903</v>
      </c>
      <c r="H90" s="12">
        <f t="shared" si="2"/>
        <v>41.098123066666666</v>
      </c>
      <c r="I90" s="16"/>
      <c r="J90" s="12">
        <v>30.069955400000001</v>
      </c>
      <c r="K90" s="12">
        <v>35.851817400000002</v>
      </c>
      <c r="L90" s="12">
        <v>38.206302929335003</v>
      </c>
      <c r="M90" s="17">
        <f t="shared" si="3"/>
        <v>34.709358576444998</v>
      </c>
    </row>
    <row r="91" spans="1:13" x14ac:dyDescent="0.15">
      <c r="A91" s="15" t="s">
        <v>266</v>
      </c>
      <c r="B91" s="15" t="s">
        <v>267</v>
      </c>
      <c r="C91" s="15" t="s">
        <v>268</v>
      </c>
      <c r="D91" s="16"/>
      <c r="E91" s="12">
        <v>38.9084827</v>
      </c>
      <c r="F91" s="12">
        <v>42.900133199999999</v>
      </c>
      <c r="G91" s="12">
        <v>43.523676899999998</v>
      </c>
      <c r="H91" s="12">
        <f t="shared" si="2"/>
        <v>41.777430933333335</v>
      </c>
      <c r="I91" s="16"/>
      <c r="J91" s="12">
        <v>24.461566999999999</v>
      </c>
      <c r="K91" s="12">
        <v>34.893846199999999</v>
      </c>
      <c r="L91" s="12">
        <v>32.160569763677564</v>
      </c>
      <c r="M91" s="17">
        <f t="shared" si="3"/>
        <v>30.505327654559192</v>
      </c>
    </row>
    <row r="92" spans="1:13" x14ac:dyDescent="0.15">
      <c r="A92" s="15" t="s">
        <v>269</v>
      </c>
      <c r="B92" s="15" t="s">
        <v>270</v>
      </c>
      <c r="C92" s="15" t="s">
        <v>271</v>
      </c>
      <c r="D92" s="16"/>
      <c r="E92" s="12">
        <v>36.992356000000001</v>
      </c>
      <c r="F92" s="12">
        <v>40.231615400000003</v>
      </c>
      <c r="G92" s="12">
        <v>38.789772499999998</v>
      </c>
      <c r="H92" s="12">
        <f t="shared" si="2"/>
        <v>38.67124796666667</v>
      </c>
      <c r="I92" s="16"/>
      <c r="J92" s="12">
        <v>24.156170299999999</v>
      </c>
      <c r="K92" s="12">
        <v>29.9452572</v>
      </c>
      <c r="L92" s="12">
        <v>33.068825265172663</v>
      </c>
      <c r="M92" s="17">
        <f t="shared" si="3"/>
        <v>29.05675092172422</v>
      </c>
    </row>
    <row r="93" spans="1:13" x14ac:dyDescent="0.15">
      <c r="A93" s="15" t="s">
        <v>272</v>
      </c>
      <c r="B93" s="15" t="s">
        <v>273</v>
      </c>
      <c r="C93" s="15" t="s">
        <v>274</v>
      </c>
      <c r="D93" s="16"/>
      <c r="E93" s="12">
        <v>41.468448000000002</v>
      </c>
      <c r="F93" s="12">
        <v>43.098554999999998</v>
      </c>
      <c r="G93" s="12">
        <v>43.880012700000002</v>
      </c>
      <c r="H93" s="12">
        <f t="shared" si="2"/>
        <v>42.815671900000005</v>
      </c>
      <c r="I93" s="16"/>
      <c r="J93" s="12">
        <v>27.730232900000001</v>
      </c>
      <c r="K93" s="12">
        <v>34.182498000000002</v>
      </c>
      <c r="L93" s="12">
        <v>39.313682606425758</v>
      </c>
      <c r="M93" s="17">
        <f t="shared" si="3"/>
        <v>33.742137835475255</v>
      </c>
    </row>
    <row r="94" spans="1:13" x14ac:dyDescent="0.15">
      <c r="A94" s="15" t="s">
        <v>275</v>
      </c>
      <c r="B94" s="15" t="s">
        <v>276</v>
      </c>
      <c r="C94" s="15" t="s">
        <v>277</v>
      </c>
      <c r="D94" s="16"/>
      <c r="E94" s="12">
        <v>41.6615477</v>
      </c>
      <c r="F94" s="12">
        <v>40.481135899999998</v>
      </c>
      <c r="G94" s="12">
        <v>39.796581799999998</v>
      </c>
      <c r="H94" s="12">
        <f t="shared" si="2"/>
        <v>40.646421799999999</v>
      </c>
      <c r="I94" s="16"/>
      <c r="J94" s="12">
        <v>29.3706578</v>
      </c>
      <c r="K94" s="12">
        <v>33.575413099999999</v>
      </c>
      <c r="L94" s="12">
        <v>38.567769024827136</v>
      </c>
      <c r="M94" s="17">
        <f t="shared" si="3"/>
        <v>33.837946641609044</v>
      </c>
    </row>
    <row r="95" spans="1:13" x14ac:dyDescent="0.15">
      <c r="A95" s="15" t="s">
        <v>278</v>
      </c>
      <c r="B95" s="15" t="s">
        <v>279</v>
      </c>
      <c r="C95" s="15" t="s">
        <v>280</v>
      </c>
      <c r="D95" s="16"/>
      <c r="E95" s="12">
        <v>44.854660099999997</v>
      </c>
      <c r="F95" s="12">
        <v>42.278836200000001</v>
      </c>
      <c r="G95" s="12">
        <v>40.9870205</v>
      </c>
      <c r="H95" s="12">
        <f t="shared" si="2"/>
        <v>42.70683893333333</v>
      </c>
      <c r="I95" s="16"/>
      <c r="J95" s="12">
        <v>27.4797066</v>
      </c>
      <c r="K95" s="12">
        <v>34.909593600000001</v>
      </c>
      <c r="L95" s="12">
        <v>37.539288871427168</v>
      </c>
      <c r="M95" s="17">
        <f t="shared" si="3"/>
        <v>33.309529690475721</v>
      </c>
    </row>
    <row r="96" spans="1:13" x14ac:dyDescent="0.15">
      <c r="A96" s="9" t="s">
        <v>281</v>
      </c>
      <c r="B96" s="9" t="s">
        <v>282</v>
      </c>
      <c r="C96" s="9" t="s">
        <v>283</v>
      </c>
      <c r="D96" s="10"/>
      <c r="E96" s="12">
        <v>44.375815799999998</v>
      </c>
      <c r="F96" s="12">
        <v>43.616622999999997</v>
      </c>
      <c r="G96" s="12">
        <v>41.644905700000002</v>
      </c>
      <c r="H96" s="13">
        <f t="shared" si="2"/>
        <v>43.212448166666668</v>
      </c>
      <c r="I96" s="10"/>
      <c r="J96" s="12">
        <v>28.696494999999999</v>
      </c>
      <c r="K96" s="12">
        <v>34.175893000000002</v>
      </c>
      <c r="L96" s="12">
        <v>33.602443800000003</v>
      </c>
      <c r="M96" s="14">
        <f t="shared" si="3"/>
        <v>32.158277266666666</v>
      </c>
    </row>
    <row r="97" spans="1:13" x14ac:dyDescent="0.15">
      <c r="A97" s="9" t="s">
        <v>284</v>
      </c>
      <c r="B97" s="9" t="s">
        <v>285</v>
      </c>
      <c r="C97" s="9" t="s">
        <v>286</v>
      </c>
      <c r="D97" s="10"/>
      <c r="E97" s="12">
        <v>36.110826600000003</v>
      </c>
      <c r="F97" s="12">
        <v>38.201262800000002</v>
      </c>
      <c r="G97" s="12">
        <v>35.615369600000001</v>
      </c>
      <c r="H97" s="13">
        <f t="shared" si="2"/>
        <v>36.642486333333331</v>
      </c>
      <c r="I97" s="10"/>
      <c r="J97" s="12">
        <v>19.525727499999999</v>
      </c>
      <c r="K97" s="12">
        <v>27.293594299999999</v>
      </c>
      <c r="L97" s="12">
        <v>22.0003919</v>
      </c>
      <c r="M97" s="14">
        <f t="shared" si="3"/>
        <v>22.939904566666666</v>
      </c>
    </row>
    <row r="98" spans="1:13" x14ac:dyDescent="0.15">
      <c r="A98" s="9" t="s">
        <v>287</v>
      </c>
      <c r="B98" s="9" t="s">
        <v>288</v>
      </c>
      <c r="C98" s="9" t="s">
        <v>289</v>
      </c>
      <c r="D98" s="10"/>
      <c r="E98" s="12">
        <v>43.523867000000003</v>
      </c>
      <c r="F98" s="12">
        <v>47.095868699999997</v>
      </c>
      <c r="G98" s="12">
        <v>43.460381400000003</v>
      </c>
      <c r="H98" s="13">
        <f t="shared" si="2"/>
        <v>44.693372366666665</v>
      </c>
      <c r="I98" s="10"/>
      <c r="J98" s="12">
        <v>25.961979400000001</v>
      </c>
      <c r="K98" s="12">
        <v>34.319553800000001</v>
      </c>
      <c r="L98" s="12">
        <v>29.128305099999999</v>
      </c>
      <c r="M98" s="14">
        <f t="shared" si="3"/>
        <v>29.80327943333333</v>
      </c>
    </row>
    <row r="99" spans="1:13" x14ac:dyDescent="0.15">
      <c r="A99" s="9" t="s">
        <v>290</v>
      </c>
      <c r="B99" s="9" t="s">
        <v>291</v>
      </c>
      <c r="C99" s="9" t="s">
        <v>292</v>
      </c>
      <c r="D99" s="10"/>
      <c r="E99" s="12">
        <v>38.9002591</v>
      </c>
      <c r="F99" s="12">
        <v>44.498527000000003</v>
      </c>
      <c r="G99" s="12">
        <v>46.760987900000003</v>
      </c>
      <c r="H99" s="13">
        <f t="shared" si="2"/>
        <v>43.386591333333335</v>
      </c>
      <c r="I99" s="10"/>
      <c r="J99" s="12">
        <v>28.251603899999999</v>
      </c>
      <c r="K99" s="12">
        <v>38.844135700000002</v>
      </c>
      <c r="L99" s="12">
        <v>33.216931199999998</v>
      </c>
      <c r="M99" s="14">
        <f t="shared" si="3"/>
        <v>33.437556933333333</v>
      </c>
    </row>
    <row r="100" spans="1:13" x14ac:dyDescent="0.15">
      <c r="A100" s="9" t="s">
        <v>293</v>
      </c>
      <c r="B100" s="9" t="s">
        <v>294</v>
      </c>
      <c r="C100" s="9" t="s">
        <v>295</v>
      </c>
      <c r="D100" s="10"/>
      <c r="E100" s="12">
        <v>39.504256900000001</v>
      </c>
      <c r="F100" s="12">
        <v>42.429389200000003</v>
      </c>
      <c r="G100" s="12">
        <v>42.907632300000003</v>
      </c>
      <c r="H100" s="13">
        <f t="shared" si="2"/>
        <v>41.613759466666671</v>
      </c>
      <c r="I100" s="10"/>
      <c r="J100" s="12">
        <v>26.180228400000001</v>
      </c>
      <c r="K100" s="12">
        <v>37.017735399999999</v>
      </c>
      <c r="L100" s="12">
        <v>31.104782199999999</v>
      </c>
      <c r="M100" s="14">
        <f t="shared" si="3"/>
        <v>31.434248666666665</v>
      </c>
    </row>
    <row r="101" spans="1:13" x14ac:dyDescent="0.15">
      <c r="A101" s="9" t="s">
        <v>296</v>
      </c>
      <c r="B101" s="9" t="s">
        <v>297</v>
      </c>
      <c r="C101" s="9" t="s">
        <v>298</v>
      </c>
      <c r="D101" s="10"/>
      <c r="E101" s="12">
        <v>37.910597000000003</v>
      </c>
      <c r="F101" s="12">
        <v>46.177755599999998</v>
      </c>
      <c r="G101" s="12">
        <v>41.612585099999997</v>
      </c>
      <c r="H101" s="13">
        <f t="shared" si="2"/>
        <v>41.900312566666663</v>
      </c>
      <c r="I101" s="10"/>
      <c r="J101" s="12">
        <v>26.263424700000002</v>
      </c>
      <c r="K101" s="12">
        <v>37.390076200000003</v>
      </c>
      <c r="L101" s="12">
        <v>32.207771899999997</v>
      </c>
      <c r="M101" s="14">
        <f t="shared" si="3"/>
        <v>31.953757599999999</v>
      </c>
    </row>
    <row r="102" spans="1:13" x14ac:dyDescent="0.15">
      <c r="A102" s="9" t="s">
        <v>299</v>
      </c>
      <c r="B102" s="9" t="s">
        <v>300</v>
      </c>
      <c r="C102" s="9" t="s">
        <v>301</v>
      </c>
      <c r="D102" s="10"/>
      <c r="E102" s="12">
        <v>41.926788100000003</v>
      </c>
      <c r="F102" s="12">
        <v>42.057314699999999</v>
      </c>
      <c r="G102" s="12">
        <v>43.512654400000002</v>
      </c>
      <c r="H102" s="13">
        <f t="shared" si="2"/>
        <v>42.498919066666666</v>
      </c>
      <c r="I102" s="10"/>
      <c r="J102" s="12">
        <v>26.070210899999999</v>
      </c>
      <c r="K102" s="12">
        <v>38.358434799999998</v>
      </c>
      <c r="L102" s="12">
        <v>32.732496699999999</v>
      </c>
      <c r="M102" s="14">
        <f t="shared" si="3"/>
        <v>32.387047466666665</v>
      </c>
    </row>
    <row r="103" spans="1:13" x14ac:dyDescent="0.15">
      <c r="A103" s="9" t="s">
        <v>302</v>
      </c>
      <c r="B103" s="9" t="s">
        <v>303</v>
      </c>
      <c r="C103" s="9" t="s">
        <v>304</v>
      </c>
      <c r="D103" s="10"/>
      <c r="E103" s="12">
        <v>41.740205600000003</v>
      </c>
      <c r="F103" s="12">
        <v>44.179535000000001</v>
      </c>
      <c r="G103" s="12">
        <v>44.778543499999998</v>
      </c>
      <c r="H103" s="13">
        <f t="shared" si="2"/>
        <v>43.566094700000008</v>
      </c>
      <c r="I103" s="10"/>
      <c r="J103" s="12">
        <v>27.8172107</v>
      </c>
      <c r="K103" s="12">
        <v>36.569611899999998</v>
      </c>
      <c r="L103" s="12">
        <v>30.008273599999999</v>
      </c>
      <c r="M103" s="14">
        <f t="shared" si="3"/>
        <v>31.465032066666666</v>
      </c>
    </row>
    <row r="104" spans="1:13" x14ac:dyDescent="0.15">
      <c r="A104" s="9" t="s">
        <v>305</v>
      </c>
      <c r="B104" s="9" t="s">
        <v>306</v>
      </c>
      <c r="C104" s="9" t="s">
        <v>307</v>
      </c>
      <c r="D104" s="10"/>
      <c r="E104" s="12">
        <v>45.192045499999999</v>
      </c>
      <c r="F104" s="12">
        <v>45.348270800000002</v>
      </c>
      <c r="G104" s="12">
        <v>45.455425400000003</v>
      </c>
      <c r="H104" s="13">
        <f t="shared" si="2"/>
        <v>45.331913899999996</v>
      </c>
      <c r="I104" s="10"/>
      <c r="J104" s="12">
        <v>28.9514411</v>
      </c>
      <c r="K104" s="12">
        <v>36.563761300000003</v>
      </c>
      <c r="L104" s="12">
        <v>31.826883299999999</v>
      </c>
      <c r="M104" s="14">
        <f t="shared" si="3"/>
        <v>32.447361900000004</v>
      </c>
    </row>
    <row r="105" spans="1:13" x14ac:dyDescent="0.15">
      <c r="A105" s="9" t="s">
        <v>308</v>
      </c>
      <c r="B105" s="9" t="s">
        <v>309</v>
      </c>
      <c r="C105" s="9" t="s">
        <v>310</v>
      </c>
      <c r="D105" s="10"/>
      <c r="E105" s="12">
        <v>44.572737400000001</v>
      </c>
      <c r="F105" s="12">
        <v>47.979605599999999</v>
      </c>
      <c r="G105" s="12">
        <v>42.6051626</v>
      </c>
      <c r="H105" s="13">
        <f t="shared" si="2"/>
        <v>45.052501866666667</v>
      </c>
      <c r="I105" s="10"/>
      <c r="J105" s="12">
        <v>27.573341800000001</v>
      </c>
      <c r="K105" s="12">
        <v>39.518572300000002</v>
      </c>
      <c r="L105" s="12">
        <v>33.979099900000001</v>
      </c>
      <c r="M105" s="14">
        <f t="shared" si="3"/>
        <v>33.690337999999997</v>
      </c>
    </row>
    <row r="106" spans="1:13" x14ac:dyDescent="0.15">
      <c r="A106" s="9" t="s">
        <v>311</v>
      </c>
      <c r="B106" s="9" t="s">
        <v>312</v>
      </c>
      <c r="C106" s="9" t="s">
        <v>313</v>
      </c>
      <c r="D106" s="10"/>
      <c r="E106" s="12">
        <v>41.581907399999999</v>
      </c>
      <c r="F106" s="12">
        <v>36.5068816</v>
      </c>
      <c r="G106" s="12">
        <v>38.632743599999998</v>
      </c>
      <c r="H106" s="13">
        <f t="shared" si="2"/>
        <v>38.907177533333332</v>
      </c>
      <c r="I106" s="10"/>
      <c r="J106" s="12">
        <v>25.338160299999998</v>
      </c>
      <c r="K106" s="12">
        <v>35.852612399999998</v>
      </c>
      <c r="L106" s="12">
        <v>28.098573399999999</v>
      </c>
      <c r="M106" s="14">
        <f t="shared" si="3"/>
        <v>29.763115366666664</v>
      </c>
    </row>
    <row r="107" spans="1:13" x14ac:dyDescent="0.15">
      <c r="A107" s="9" t="s">
        <v>314</v>
      </c>
      <c r="B107" s="9" t="s">
        <v>315</v>
      </c>
      <c r="C107" s="9" t="s">
        <v>316</v>
      </c>
      <c r="D107" s="10"/>
      <c r="E107" s="12">
        <v>40.008558000000001</v>
      </c>
      <c r="F107" s="12">
        <v>42.523461300000001</v>
      </c>
      <c r="G107" s="12">
        <v>45.158360199999997</v>
      </c>
      <c r="H107" s="13">
        <f t="shared" si="2"/>
        <v>42.563459833333333</v>
      </c>
      <c r="I107" s="10"/>
      <c r="J107" s="12">
        <v>23.3017103</v>
      </c>
      <c r="K107" s="12">
        <v>32.915783900000001</v>
      </c>
      <c r="L107" s="12">
        <v>28.052122499999999</v>
      </c>
      <c r="M107" s="14">
        <f t="shared" si="3"/>
        <v>28.089872233333335</v>
      </c>
    </row>
    <row r="108" spans="1:13" x14ac:dyDescent="0.15">
      <c r="A108" s="9" t="s">
        <v>317</v>
      </c>
      <c r="B108" s="9" t="s">
        <v>318</v>
      </c>
      <c r="C108" s="9" t="s">
        <v>319</v>
      </c>
      <c r="D108" s="10"/>
      <c r="E108" s="12">
        <v>38.5415676</v>
      </c>
      <c r="F108" s="12">
        <v>42.215145100000001</v>
      </c>
      <c r="G108" s="12">
        <v>38.254686100000001</v>
      </c>
      <c r="H108" s="13">
        <f t="shared" si="2"/>
        <v>39.670466266666672</v>
      </c>
      <c r="I108" s="10"/>
      <c r="J108" s="12">
        <v>20.5033046</v>
      </c>
      <c r="K108" s="12">
        <v>31.4671038</v>
      </c>
      <c r="L108" s="12">
        <v>24.3366586</v>
      </c>
      <c r="M108" s="14">
        <f t="shared" si="3"/>
        <v>25.435688999999996</v>
      </c>
    </row>
    <row r="109" spans="1:13" x14ac:dyDescent="0.15">
      <c r="A109" s="9" t="s">
        <v>320</v>
      </c>
      <c r="B109" s="9" t="s">
        <v>321</v>
      </c>
      <c r="C109" s="9" t="s">
        <v>322</v>
      </c>
      <c r="D109" s="10"/>
      <c r="E109" s="12">
        <v>40.636259699999997</v>
      </c>
      <c r="F109" s="12">
        <v>42.757156299999998</v>
      </c>
      <c r="G109" s="12">
        <v>49.585993899999998</v>
      </c>
      <c r="H109" s="13">
        <f t="shared" si="2"/>
        <v>44.326469966666671</v>
      </c>
      <c r="I109" s="10"/>
      <c r="J109" s="12">
        <v>27.364343399999999</v>
      </c>
      <c r="K109" s="12">
        <v>38.962762599999998</v>
      </c>
      <c r="L109" s="12">
        <v>33.113705899999999</v>
      </c>
      <c r="M109" s="14">
        <f t="shared" si="3"/>
        <v>33.146937299999998</v>
      </c>
    </row>
    <row r="110" spans="1:13" x14ac:dyDescent="0.15">
      <c r="A110" s="9" t="s">
        <v>323</v>
      </c>
      <c r="B110" s="9" t="s">
        <v>324</v>
      </c>
      <c r="C110" s="9" t="s">
        <v>325</v>
      </c>
      <c r="D110" s="10"/>
      <c r="E110" s="12">
        <v>38.608284300000001</v>
      </c>
      <c r="F110" s="12">
        <v>40.952655300000004</v>
      </c>
      <c r="G110" s="12">
        <v>43.931248600000004</v>
      </c>
      <c r="H110" s="13">
        <f t="shared" si="2"/>
        <v>41.164062733333338</v>
      </c>
      <c r="I110" s="10"/>
      <c r="J110" s="12">
        <v>28.393659199999998</v>
      </c>
      <c r="K110" s="12">
        <v>38.598169499999997</v>
      </c>
      <c r="L110" s="12">
        <v>31.853097200000001</v>
      </c>
      <c r="M110" s="14">
        <f t="shared" si="3"/>
        <v>32.948308633333333</v>
      </c>
    </row>
    <row r="111" spans="1:13" x14ac:dyDescent="0.15">
      <c r="A111" s="9" t="s">
        <v>326</v>
      </c>
      <c r="B111" s="9" t="s">
        <v>327</v>
      </c>
      <c r="C111" s="9" t="s">
        <v>328</v>
      </c>
      <c r="D111" s="10"/>
      <c r="E111" s="12">
        <v>40.120711900000003</v>
      </c>
      <c r="F111" s="12">
        <v>41.428609600000001</v>
      </c>
      <c r="G111" s="12">
        <v>44.022601299999998</v>
      </c>
      <c r="H111" s="13">
        <f t="shared" si="2"/>
        <v>41.857307600000006</v>
      </c>
      <c r="I111" s="10"/>
      <c r="J111" s="12">
        <v>28.166782000000001</v>
      </c>
      <c r="K111" s="12">
        <v>39.309171800000001</v>
      </c>
      <c r="L111" s="12">
        <v>34.187776200000002</v>
      </c>
      <c r="M111" s="14">
        <f t="shared" si="3"/>
        <v>33.887909999999998</v>
      </c>
    </row>
    <row r="112" spans="1:13" x14ac:dyDescent="0.15">
      <c r="A112" s="9" t="s">
        <v>329</v>
      </c>
      <c r="B112" s="9" t="s">
        <v>330</v>
      </c>
      <c r="C112" s="9" t="s">
        <v>331</v>
      </c>
      <c r="D112" s="10"/>
      <c r="E112" s="12">
        <v>36.941260900000003</v>
      </c>
      <c r="F112" s="12">
        <v>36.756126000000002</v>
      </c>
      <c r="G112" s="12">
        <v>38.207789300000002</v>
      </c>
      <c r="H112" s="13">
        <f t="shared" si="2"/>
        <v>37.301725400000002</v>
      </c>
      <c r="I112" s="10"/>
      <c r="J112" s="12">
        <v>28.723239400000001</v>
      </c>
      <c r="K112" s="12">
        <v>41.809212000000002</v>
      </c>
      <c r="L112" s="12">
        <v>34.734536400000003</v>
      </c>
      <c r="M112" s="14">
        <f t="shared" si="3"/>
        <v>35.088995933333337</v>
      </c>
    </row>
    <row r="113" spans="1:13" x14ac:dyDescent="0.15">
      <c r="A113" s="9" t="s">
        <v>332</v>
      </c>
      <c r="B113" s="9" t="s">
        <v>333</v>
      </c>
      <c r="C113" s="9" t="s">
        <v>334</v>
      </c>
      <c r="D113" s="10"/>
      <c r="E113" s="12">
        <v>41.052592699999998</v>
      </c>
      <c r="F113" s="12">
        <v>43.247502500000003</v>
      </c>
      <c r="G113" s="12">
        <v>42.3818275</v>
      </c>
      <c r="H113" s="13">
        <f t="shared" si="2"/>
        <v>42.227307566666667</v>
      </c>
      <c r="I113" s="10"/>
      <c r="J113" s="12">
        <v>28.620710599999999</v>
      </c>
      <c r="K113" s="12">
        <v>38.773047300000002</v>
      </c>
      <c r="L113" s="12">
        <v>33.6405289</v>
      </c>
      <c r="M113" s="14">
        <f t="shared" si="3"/>
        <v>33.678095599999999</v>
      </c>
    </row>
    <row r="114" spans="1:13" x14ac:dyDescent="0.15">
      <c r="A114" s="9" t="s">
        <v>335</v>
      </c>
      <c r="B114" s="9" t="s">
        <v>336</v>
      </c>
      <c r="C114" s="9" t="s">
        <v>337</v>
      </c>
      <c r="D114" s="10"/>
      <c r="E114" s="12">
        <v>43.772978199999997</v>
      </c>
      <c r="F114" s="12">
        <v>39.704602299999998</v>
      </c>
      <c r="G114" s="12">
        <v>39.217566599999998</v>
      </c>
      <c r="H114" s="13">
        <f t="shared" si="2"/>
        <v>40.898382366666659</v>
      </c>
      <c r="I114" s="10"/>
      <c r="J114" s="12">
        <v>31.561691700000001</v>
      </c>
      <c r="K114" s="12">
        <v>33.654055100000001</v>
      </c>
      <c r="L114" s="12">
        <v>30.0611192</v>
      </c>
      <c r="M114" s="14">
        <f t="shared" si="3"/>
        <v>31.758955333333336</v>
      </c>
    </row>
    <row r="115" spans="1:13" x14ac:dyDescent="0.15">
      <c r="A115" s="9" t="s">
        <v>338</v>
      </c>
      <c r="B115" s="9" t="s">
        <v>339</v>
      </c>
      <c r="C115" s="9" t="s">
        <v>340</v>
      </c>
      <c r="D115" s="10"/>
      <c r="E115" s="12">
        <v>46.8915711</v>
      </c>
      <c r="F115" s="12">
        <v>43.265192599999999</v>
      </c>
      <c r="G115" s="12">
        <v>44.4843367</v>
      </c>
      <c r="H115" s="13">
        <f t="shared" si="2"/>
        <v>44.880366799999997</v>
      </c>
      <c r="I115" s="10"/>
      <c r="J115" s="12">
        <v>23.8141319</v>
      </c>
      <c r="K115" s="12">
        <v>36.743256700000003</v>
      </c>
      <c r="L115" s="12">
        <v>32.931398399999999</v>
      </c>
      <c r="M115" s="14">
        <f t="shared" si="3"/>
        <v>31.162929000000002</v>
      </c>
    </row>
    <row r="116" spans="1:13" x14ac:dyDescent="0.15">
      <c r="A116" s="15" t="s">
        <v>341</v>
      </c>
      <c r="B116" s="15" t="s">
        <v>342</v>
      </c>
      <c r="C116" s="15" t="s">
        <v>343</v>
      </c>
      <c r="D116" s="16"/>
      <c r="E116" s="12">
        <v>46.6822278</v>
      </c>
      <c r="F116" s="12">
        <v>43.632104200000001</v>
      </c>
      <c r="G116" s="12">
        <v>42.785856899999999</v>
      </c>
      <c r="H116" s="12">
        <f t="shared" si="2"/>
        <v>44.366729633333335</v>
      </c>
      <c r="I116" s="16"/>
      <c r="J116" s="12">
        <v>26.321727599999999</v>
      </c>
      <c r="K116" s="12">
        <v>39.623287699999999</v>
      </c>
      <c r="L116" s="12">
        <v>33.209923251540374</v>
      </c>
      <c r="M116" s="17">
        <f t="shared" si="3"/>
        <v>33.051646183846792</v>
      </c>
    </row>
    <row r="117" spans="1:13" x14ac:dyDescent="0.15">
      <c r="A117" s="15" t="s">
        <v>344</v>
      </c>
      <c r="B117" s="15" t="s">
        <v>345</v>
      </c>
      <c r="C117" s="15" t="s">
        <v>346</v>
      </c>
      <c r="D117" s="16"/>
      <c r="E117" s="12">
        <v>44.213395499999997</v>
      </c>
      <c r="F117" s="12">
        <v>43.115137900000001</v>
      </c>
      <c r="G117" s="12">
        <v>38.0038895</v>
      </c>
      <c r="H117" s="12">
        <f t="shared" si="2"/>
        <v>41.777474300000002</v>
      </c>
      <c r="I117" s="16"/>
      <c r="J117" s="12">
        <v>30.490672199999999</v>
      </c>
      <c r="K117" s="12">
        <v>40.683747699999998</v>
      </c>
      <c r="L117" s="12">
        <v>35.642021180367109</v>
      </c>
      <c r="M117" s="17">
        <f t="shared" si="3"/>
        <v>35.605480360122371</v>
      </c>
    </row>
    <row r="118" spans="1:13" x14ac:dyDescent="0.15">
      <c r="A118" s="15" t="s">
        <v>347</v>
      </c>
      <c r="B118" s="15" t="s">
        <v>348</v>
      </c>
      <c r="C118" s="15" t="s">
        <v>349</v>
      </c>
      <c r="D118" s="16"/>
      <c r="E118" s="12">
        <v>46.700688700000001</v>
      </c>
      <c r="F118" s="12">
        <v>42.171440699999998</v>
      </c>
      <c r="G118" s="12">
        <v>41.586770299999998</v>
      </c>
      <c r="H118" s="12">
        <f t="shared" si="2"/>
        <v>43.486299900000006</v>
      </c>
      <c r="I118" s="16"/>
      <c r="J118" s="12">
        <v>29.752899599999999</v>
      </c>
      <c r="K118" s="12">
        <v>41.231809800000001</v>
      </c>
      <c r="L118" s="12">
        <v>36.237864561529413</v>
      </c>
      <c r="M118" s="17">
        <f t="shared" si="3"/>
        <v>35.740857987176469</v>
      </c>
    </row>
    <row r="119" spans="1:13" x14ac:dyDescent="0.15">
      <c r="A119" s="15" t="s">
        <v>350</v>
      </c>
      <c r="B119" s="15" t="s">
        <v>351</v>
      </c>
      <c r="C119" s="15" t="s">
        <v>352</v>
      </c>
      <c r="D119" s="16"/>
      <c r="E119" s="12">
        <v>47.253984000000003</v>
      </c>
      <c r="F119" s="12">
        <v>44.809162700000002</v>
      </c>
      <c r="G119" s="12">
        <v>46.874349500000001</v>
      </c>
      <c r="H119" s="12">
        <f t="shared" si="2"/>
        <v>46.312498733333335</v>
      </c>
      <c r="I119" s="16"/>
      <c r="J119" s="12">
        <v>27.007203700000002</v>
      </c>
      <c r="K119" s="12">
        <v>37.984338999999999</v>
      </c>
      <c r="L119" s="12">
        <v>37.221814624602594</v>
      </c>
      <c r="M119" s="17">
        <f t="shared" si="3"/>
        <v>34.071119108200861</v>
      </c>
    </row>
    <row r="120" spans="1:13" x14ac:dyDescent="0.15">
      <c r="A120" s="15" t="s">
        <v>353</v>
      </c>
      <c r="B120" s="15" t="s">
        <v>354</v>
      </c>
      <c r="C120" s="15" t="s">
        <v>355</v>
      </c>
      <c r="D120" s="16"/>
      <c r="E120" s="12">
        <v>45.566530800000002</v>
      </c>
      <c r="F120" s="12">
        <v>45.247303700000003</v>
      </c>
      <c r="G120" s="12">
        <v>44.984048199999997</v>
      </c>
      <c r="H120" s="12">
        <f t="shared" si="2"/>
        <v>45.265960900000003</v>
      </c>
      <c r="I120" s="16"/>
      <c r="J120" s="12">
        <v>28.789808900000001</v>
      </c>
      <c r="K120" s="12">
        <v>37.503121100000001</v>
      </c>
      <c r="L120" s="12">
        <v>35.29762469343234</v>
      </c>
      <c r="M120" s="17">
        <f t="shared" si="3"/>
        <v>33.863518231144113</v>
      </c>
    </row>
    <row r="121" spans="1:13" x14ac:dyDescent="0.15">
      <c r="A121" s="15" t="s">
        <v>356</v>
      </c>
      <c r="B121" s="15" t="s">
        <v>357</v>
      </c>
      <c r="C121" s="15" t="s">
        <v>358</v>
      </c>
      <c r="D121" s="16"/>
      <c r="E121" s="12">
        <v>46.731368600000003</v>
      </c>
      <c r="F121" s="12">
        <v>45.705655100000001</v>
      </c>
      <c r="G121" s="12">
        <v>50.491495200000003</v>
      </c>
      <c r="H121" s="12">
        <f t="shared" si="2"/>
        <v>47.642839633333331</v>
      </c>
      <c r="I121" s="16"/>
      <c r="J121" s="12">
        <v>27.757045399999999</v>
      </c>
      <c r="K121" s="12">
        <v>33.439713599999997</v>
      </c>
      <c r="L121" s="12">
        <v>33.843157059375223</v>
      </c>
      <c r="M121" s="17">
        <f t="shared" si="3"/>
        <v>31.679972019791744</v>
      </c>
    </row>
    <row r="122" spans="1:13" x14ac:dyDescent="0.15">
      <c r="A122" s="15" t="s">
        <v>359</v>
      </c>
      <c r="B122" s="15" t="s">
        <v>360</v>
      </c>
      <c r="C122" s="15" t="s">
        <v>361</v>
      </c>
      <c r="D122" s="16"/>
      <c r="E122" s="12">
        <v>43.388870099999998</v>
      </c>
      <c r="F122" s="12">
        <v>43.504840999999999</v>
      </c>
      <c r="G122" s="12">
        <v>43.3229738</v>
      </c>
      <c r="H122" s="12">
        <f t="shared" si="2"/>
        <v>43.405561633333328</v>
      </c>
      <c r="I122" s="16"/>
      <c r="J122" s="12">
        <v>28.8322304</v>
      </c>
      <c r="K122" s="12">
        <v>37.792765199999998</v>
      </c>
      <c r="L122" s="12">
        <v>38.282372103353815</v>
      </c>
      <c r="M122" s="17">
        <f t="shared" si="3"/>
        <v>34.969122567784609</v>
      </c>
    </row>
    <row r="123" spans="1:13" x14ac:dyDescent="0.15">
      <c r="A123" s="9" t="s">
        <v>362</v>
      </c>
      <c r="B123" s="9" t="s">
        <v>363</v>
      </c>
      <c r="C123" s="9" t="s">
        <v>364</v>
      </c>
      <c r="D123" s="10"/>
      <c r="E123" s="12">
        <v>55.883386000000002</v>
      </c>
      <c r="F123" s="12">
        <v>40.438871499999998</v>
      </c>
      <c r="G123" s="12">
        <v>50.506910300000001</v>
      </c>
      <c r="H123" s="13">
        <f t="shared" si="2"/>
        <v>48.943055933333333</v>
      </c>
      <c r="I123" s="10"/>
      <c r="J123" s="12">
        <v>31.830620799999998</v>
      </c>
      <c r="K123" s="12">
        <v>49.1501375</v>
      </c>
      <c r="L123" s="12">
        <v>41.345443299999999</v>
      </c>
      <c r="M123" s="14">
        <f t="shared" si="3"/>
        <v>40.775400533333332</v>
      </c>
    </row>
    <row r="124" spans="1:13" x14ac:dyDescent="0.15">
      <c r="A124" s="9" t="s">
        <v>365</v>
      </c>
      <c r="B124" s="9" t="s">
        <v>366</v>
      </c>
      <c r="C124" s="9" t="s">
        <v>367</v>
      </c>
      <c r="D124" s="10"/>
      <c r="E124" s="12">
        <v>50.0680774</v>
      </c>
      <c r="F124" s="12">
        <v>43.779665799999997</v>
      </c>
      <c r="G124" s="12">
        <v>44.9188896</v>
      </c>
      <c r="H124" s="13">
        <f t="shared" si="2"/>
        <v>46.255544266666668</v>
      </c>
      <c r="I124" s="10"/>
      <c r="J124" s="12">
        <v>30.215334599999998</v>
      </c>
      <c r="K124" s="12">
        <v>47.758041300000002</v>
      </c>
      <c r="L124" s="12">
        <v>39.384488500000003</v>
      </c>
      <c r="M124" s="14">
        <f t="shared" si="3"/>
        <v>39.119288133333335</v>
      </c>
    </row>
    <row r="125" spans="1:13" x14ac:dyDescent="0.15">
      <c r="A125" s="9" t="s">
        <v>368</v>
      </c>
      <c r="B125" s="9" t="s">
        <v>369</v>
      </c>
      <c r="C125" s="9" t="s">
        <v>370</v>
      </c>
      <c r="D125" s="10"/>
      <c r="E125" s="12">
        <v>45.996451999999998</v>
      </c>
      <c r="F125" s="12">
        <v>40.777878200000004</v>
      </c>
      <c r="G125" s="12">
        <v>42.485374200000003</v>
      </c>
      <c r="H125" s="13">
        <f t="shared" si="2"/>
        <v>43.086568133333337</v>
      </c>
      <c r="I125" s="10"/>
      <c r="J125" s="12">
        <v>28.106330499999999</v>
      </c>
      <c r="K125" s="12">
        <v>42.228982299999998</v>
      </c>
      <c r="L125" s="12">
        <v>35.010411599999998</v>
      </c>
      <c r="M125" s="14">
        <f t="shared" si="3"/>
        <v>35.115241466666667</v>
      </c>
    </row>
    <row r="126" spans="1:13" x14ac:dyDescent="0.15">
      <c r="A126" s="9" t="s">
        <v>371</v>
      </c>
      <c r="B126" s="9" t="s">
        <v>372</v>
      </c>
      <c r="C126" s="9" t="s">
        <v>373</v>
      </c>
      <c r="D126" s="10"/>
      <c r="E126" s="12">
        <v>48.124740299999999</v>
      </c>
      <c r="F126" s="12">
        <v>46.004365100000001</v>
      </c>
      <c r="G126" s="12">
        <v>45.175784999999998</v>
      </c>
      <c r="H126" s="13">
        <f t="shared" si="2"/>
        <v>46.434963466666666</v>
      </c>
      <c r="I126" s="10"/>
      <c r="J126" s="12">
        <v>33.517339</v>
      </c>
      <c r="K126" s="12">
        <v>47.129742299999997</v>
      </c>
      <c r="L126" s="12">
        <v>39.4856245</v>
      </c>
      <c r="M126" s="14">
        <f t="shared" si="3"/>
        <v>40.044235266666668</v>
      </c>
    </row>
    <row r="127" spans="1:13" x14ac:dyDescent="0.15">
      <c r="A127" s="9" t="s">
        <v>374</v>
      </c>
      <c r="B127" s="9" t="s">
        <v>375</v>
      </c>
      <c r="C127" s="9" t="s">
        <v>376</v>
      </c>
      <c r="D127" s="10"/>
      <c r="E127" s="12">
        <v>46.823934399999999</v>
      </c>
      <c r="F127" s="12">
        <v>43.198268300000002</v>
      </c>
      <c r="G127" s="12">
        <v>43.562963099999997</v>
      </c>
      <c r="H127" s="13">
        <f t="shared" si="2"/>
        <v>44.5283886</v>
      </c>
      <c r="I127" s="10"/>
      <c r="J127" s="12">
        <v>28.532660700000001</v>
      </c>
      <c r="K127" s="12">
        <v>43.120628699999997</v>
      </c>
      <c r="L127" s="12">
        <v>36.041057100000003</v>
      </c>
      <c r="M127" s="14">
        <f t="shared" si="3"/>
        <v>35.898115500000003</v>
      </c>
    </row>
    <row r="128" spans="1:13" x14ac:dyDescent="0.15">
      <c r="A128" s="9" t="s">
        <v>377</v>
      </c>
      <c r="B128" s="9" t="s">
        <v>378</v>
      </c>
      <c r="C128" s="9" t="s">
        <v>379</v>
      </c>
      <c r="D128" s="10"/>
      <c r="E128" s="12">
        <v>47.941883900000001</v>
      </c>
      <c r="F128" s="12">
        <v>48.0323852</v>
      </c>
      <c r="G128" s="12">
        <v>46.588156300000001</v>
      </c>
      <c r="H128" s="13">
        <f t="shared" si="2"/>
        <v>47.520808466666665</v>
      </c>
      <c r="I128" s="10"/>
      <c r="J128" s="12">
        <v>27.035632499999998</v>
      </c>
      <c r="K128" s="12">
        <v>44.1898719</v>
      </c>
      <c r="L128" s="12">
        <v>40.203562300000002</v>
      </c>
      <c r="M128" s="14">
        <f t="shared" si="3"/>
        <v>37.143022233333333</v>
      </c>
    </row>
    <row r="129" spans="1:13" x14ac:dyDescent="0.15">
      <c r="A129" s="9" t="s">
        <v>380</v>
      </c>
      <c r="B129" s="9" t="s">
        <v>381</v>
      </c>
      <c r="C129" s="9" t="s">
        <v>382</v>
      </c>
      <c r="D129" s="10"/>
      <c r="E129" s="12">
        <v>45.731603</v>
      </c>
      <c r="F129" s="12">
        <v>40.158842300000003</v>
      </c>
      <c r="G129" s="12">
        <v>41.455117799999996</v>
      </c>
      <c r="H129" s="13">
        <f t="shared" si="2"/>
        <v>42.448521033333336</v>
      </c>
      <c r="I129" s="10"/>
      <c r="J129" s="12">
        <v>30.322135800000002</v>
      </c>
      <c r="K129" s="12">
        <v>44.909302799999999</v>
      </c>
      <c r="L129" s="12">
        <v>36.8341359</v>
      </c>
      <c r="M129" s="14">
        <f t="shared" si="3"/>
        <v>37.355191499999997</v>
      </c>
    </row>
    <row r="130" spans="1:13" x14ac:dyDescent="0.15">
      <c r="A130" s="9" t="s">
        <v>383</v>
      </c>
      <c r="B130" s="9" t="s">
        <v>384</v>
      </c>
      <c r="C130" s="9" t="s">
        <v>385</v>
      </c>
      <c r="D130" s="10"/>
      <c r="E130" s="12">
        <v>24.123986500000001</v>
      </c>
      <c r="F130" s="12">
        <v>18.174135700000001</v>
      </c>
      <c r="G130" s="12">
        <v>19.883133600000001</v>
      </c>
      <c r="H130" s="13">
        <f t="shared" si="2"/>
        <v>20.727085266666666</v>
      </c>
      <c r="I130" s="10"/>
      <c r="J130" s="12">
        <v>16.4046214</v>
      </c>
      <c r="K130" s="12">
        <v>20.426193999999999</v>
      </c>
      <c r="L130" s="12">
        <v>13.7745227</v>
      </c>
      <c r="M130" s="14">
        <f t="shared" si="3"/>
        <v>16.868446033333331</v>
      </c>
    </row>
    <row r="131" spans="1:13" x14ac:dyDescent="0.15">
      <c r="A131" s="9" t="s">
        <v>386</v>
      </c>
      <c r="B131" s="9" t="s">
        <v>387</v>
      </c>
      <c r="C131" s="9" t="s">
        <v>388</v>
      </c>
      <c r="D131" s="10"/>
      <c r="E131" s="12">
        <v>50.9735485</v>
      </c>
      <c r="F131" s="12">
        <v>42.163032299999998</v>
      </c>
      <c r="G131" s="12">
        <v>41.333299400000001</v>
      </c>
      <c r="H131" s="13">
        <f t="shared" si="2"/>
        <v>44.82329339999999</v>
      </c>
      <c r="I131" s="10"/>
      <c r="J131" s="12">
        <v>32.3952703</v>
      </c>
      <c r="K131" s="12">
        <v>46.177564400000001</v>
      </c>
      <c r="L131" s="12">
        <v>38.778195500000002</v>
      </c>
      <c r="M131" s="14">
        <f t="shared" si="3"/>
        <v>39.117010066666666</v>
      </c>
    </row>
    <row r="132" spans="1:13" x14ac:dyDescent="0.15">
      <c r="A132" s="9" t="s">
        <v>389</v>
      </c>
      <c r="B132" s="9" t="s">
        <v>390</v>
      </c>
      <c r="C132" s="9" t="s">
        <v>391</v>
      </c>
      <c r="D132" s="10"/>
      <c r="E132" s="12">
        <v>42.173905300000001</v>
      </c>
      <c r="F132" s="12">
        <v>36.470588200000002</v>
      </c>
      <c r="G132" s="12">
        <v>37.864392600000002</v>
      </c>
      <c r="H132" s="13">
        <f t="shared" si="2"/>
        <v>38.836295366666668</v>
      </c>
      <c r="I132" s="10"/>
      <c r="J132" s="12">
        <v>26.402587400000002</v>
      </c>
      <c r="K132" s="12">
        <v>35.168241299999998</v>
      </c>
      <c r="L132" s="12">
        <v>32.309236499999997</v>
      </c>
      <c r="M132" s="14">
        <f t="shared" si="3"/>
        <v>31.293355066666663</v>
      </c>
    </row>
    <row r="133" spans="1:13" x14ac:dyDescent="0.15">
      <c r="A133" s="9" t="s">
        <v>392</v>
      </c>
      <c r="B133" s="9" t="s">
        <v>393</v>
      </c>
      <c r="C133" s="9" t="s">
        <v>394</v>
      </c>
      <c r="D133" s="10"/>
      <c r="E133" s="12">
        <v>51.742302299999999</v>
      </c>
      <c r="F133" s="12">
        <v>38.937303300000004</v>
      </c>
      <c r="G133" s="12">
        <v>40.152143000000002</v>
      </c>
      <c r="H133" s="13">
        <f t="shared" si="2"/>
        <v>43.610582866666668</v>
      </c>
      <c r="I133" s="10"/>
      <c r="J133" s="12">
        <v>32.958024000000002</v>
      </c>
      <c r="K133" s="12">
        <v>47.956018299999997</v>
      </c>
      <c r="L133" s="12">
        <v>42.374791899999998</v>
      </c>
      <c r="M133" s="14">
        <f t="shared" si="3"/>
        <v>41.096278066666663</v>
      </c>
    </row>
    <row r="134" spans="1:13" x14ac:dyDescent="0.15">
      <c r="A134" s="9" t="s">
        <v>395</v>
      </c>
      <c r="B134" s="9" t="s">
        <v>396</v>
      </c>
      <c r="C134" s="9" t="s">
        <v>397</v>
      </c>
      <c r="D134" s="10"/>
      <c r="E134" s="12">
        <v>12.7619697</v>
      </c>
      <c r="F134" s="12">
        <v>8.7851119099999995</v>
      </c>
      <c r="G134" s="12">
        <v>10.3459463</v>
      </c>
      <c r="H134" s="13">
        <f t="shared" si="2"/>
        <v>10.631009303333334</v>
      </c>
      <c r="I134" s="10"/>
      <c r="J134" s="12">
        <v>15.2074319</v>
      </c>
      <c r="K134" s="12">
        <v>17.6994252</v>
      </c>
      <c r="L134" s="12">
        <v>14.239098200000001</v>
      </c>
      <c r="M134" s="14">
        <f t="shared" si="3"/>
        <v>15.715318433333332</v>
      </c>
    </row>
    <row r="135" spans="1:13" x14ac:dyDescent="0.15">
      <c r="A135" s="9" t="s">
        <v>398</v>
      </c>
      <c r="B135" s="9" t="s">
        <v>399</v>
      </c>
      <c r="C135" s="9" t="s">
        <v>400</v>
      </c>
      <c r="D135" s="10"/>
      <c r="E135" s="12">
        <v>50.586098700000001</v>
      </c>
      <c r="F135" s="12">
        <v>44.3924418</v>
      </c>
      <c r="G135" s="12">
        <v>44.250774200000002</v>
      </c>
      <c r="H135" s="13">
        <f t="shared" ref="H135:H168" si="4">AVERAGE(E135:G135)</f>
        <v>46.40977156666667</v>
      </c>
      <c r="I135" s="10"/>
      <c r="J135" s="12">
        <v>29.853925700000001</v>
      </c>
      <c r="K135" s="12">
        <v>41.4481526</v>
      </c>
      <c r="L135" s="12">
        <v>37.126942399999997</v>
      </c>
      <c r="M135" s="14">
        <f t="shared" ref="M135:M168" si="5">AVERAGE(J135:L135)</f>
        <v>36.143006899999996</v>
      </c>
    </row>
    <row r="136" spans="1:13" x14ac:dyDescent="0.15">
      <c r="A136" s="9" t="s">
        <v>401</v>
      </c>
      <c r="B136" s="9" t="s">
        <v>402</v>
      </c>
      <c r="C136" s="9" t="s">
        <v>403</v>
      </c>
      <c r="D136" s="10"/>
      <c r="E136" s="12">
        <v>40.380888599999999</v>
      </c>
      <c r="F136" s="12">
        <v>33.3971509</v>
      </c>
      <c r="G136" s="12">
        <v>30.847436999999999</v>
      </c>
      <c r="H136" s="13">
        <f t="shared" si="4"/>
        <v>34.875158833333337</v>
      </c>
      <c r="I136" s="10"/>
      <c r="J136" s="12">
        <v>28.306555700000001</v>
      </c>
      <c r="K136" s="12">
        <v>38.121085600000001</v>
      </c>
      <c r="L136" s="12">
        <v>35.083736000000002</v>
      </c>
      <c r="M136" s="14">
        <f t="shared" si="5"/>
        <v>33.837125766666666</v>
      </c>
    </row>
    <row r="137" spans="1:13" x14ac:dyDescent="0.15">
      <c r="A137" s="9" t="s">
        <v>404</v>
      </c>
      <c r="B137" s="9" t="s">
        <v>405</v>
      </c>
      <c r="C137" s="9" t="s">
        <v>406</v>
      </c>
      <c r="D137" s="10"/>
      <c r="E137" s="12">
        <v>49.811907499999997</v>
      </c>
      <c r="F137" s="12">
        <v>41.8689684</v>
      </c>
      <c r="G137" s="12">
        <v>42.948645599999999</v>
      </c>
      <c r="H137" s="13">
        <f t="shared" si="4"/>
        <v>44.876507166666663</v>
      </c>
      <c r="I137" s="10"/>
      <c r="J137" s="12">
        <v>27.701242100000002</v>
      </c>
      <c r="K137" s="12">
        <v>39.900553799999997</v>
      </c>
      <c r="L137" s="12">
        <v>33.654499800000004</v>
      </c>
      <c r="M137" s="14">
        <f t="shared" si="5"/>
        <v>33.752098566666668</v>
      </c>
    </row>
    <row r="138" spans="1:13" x14ac:dyDescent="0.15">
      <c r="A138" s="9" t="s">
        <v>407</v>
      </c>
      <c r="B138" s="9" t="s">
        <v>408</v>
      </c>
      <c r="C138" s="9" t="s">
        <v>409</v>
      </c>
      <c r="D138" s="10"/>
      <c r="E138" s="12">
        <v>48.058840699999998</v>
      </c>
      <c r="F138" s="12">
        <v>43.554172899999998</v>
      </c>
      <c r="G138" s="12">
        <v>44.616587500000001</v>
      </c>
      <c r="H138" s="13">
        <f t="shared" si="4"/>
        <v>45.409867033333335</v>
      </c>
      <c r="I138" s="10"/>
      <c r="J138" s="12">
        <v>33.040403699999999</v>
      </c>
      <c r="K138" s="12">
        <v>44.5929869</v>
      </c>
      <c r="L138" s="12">
        <v>39.054135899999999</v>
      </c>
      <c r="M138" s="14">
        <f t="shared" si="5"/>
        <v>38.895842166666661</v>
      </c>
    </row>
    <row r="139" spans="1:13" x14ac:dyDescent="0.15">
      <c r="A139" s="9" t="s">
        <v>410</v>
      </c>
      <c r="B139" s="9" t="s">
        <v>411</v>
      </c>
      <c r="C139" s="9" t="s">
        <v>412</v>
      </c>
      <c r="D139" s="10"/>
      <c r="E139" s="12">
        <v>46.441313200000003</v>
      </c>
      <c r="F139" s="12">
        <v>42.450506300000001</v>
      </c>
      <c r="G139" s="12">
        <v>43.328216099999999</v>
      </c>
      <c r="H139" s="13">
        <f t="shared" si="4"/>
        <v>44.073345199999999</v>
      </c>
      <c r="I139" s="10"/>
      <c r="J139" s="12">
        <v>30.402858999999999</v>
      </c>
      <c r="K139" s="12">
        <v>44.4090056</v>
      </c>
      <c r="L139" s="12">
        <v>40.927865300000001</v>
      </c>
      <c r="M139" s="14">
        <f t="shared" si="5"/>
        <v>38.579909966666669</v>
      </c>
    </row>
    <row r="140" spans="1:13" x14ac:dyDescent="0.15">
      <c r="A140" s="9" t="s">
        <v>413</v>
      </c>
      <c r="B140" s="9" t="s">
        <v>414</v>
      </c>
      <c r="C140" s="9" t="s">
        <v>415</v>
      </c>
      <c r="D140" s="10"/>
      <c r="E140" s="12">
        <v>48.892067300000001</v>
      </c>
      <c r="F140" s="12">
        <v>45.853165199999999</v>
      </c>
      <c r="G140" s="12">
        <v>41.616010199999998</v>
      </c>
      <c r="H140" s="13">
        <f t="shared" si="4"/>
        <v>45.453747566666664</v>
      </c>
      <c r="I140" s="10"/>
      <c r="J140" s="12">
        <v>29.617769299999999</v>
      </c>
      <c r="K140" s="12">
        <v>41.256330900000002</v>
      </c>
      <c r="L140" s="12">
        <v>32.347092400000001</v>
      </c>
      <c r="M140" s="14">
        <f t="shared" si="5"/>
        <v>34.407064200000001</v>
      </c>
    </row>
    <row r="141" spans="1:13" x14ac:dyDescent="0.15">
      <c r="A141" s="9" t="s">
        <v>416</v>
      </c>
      <c r="B141" s="9" t="s">
        <v>417</v>
      </c>
      <c r="C141" s="9" t="s">
        <v>418</v>
      </c>
      <c r="D141" s="10"/>
      <c r="E141" s="12">
        <v>51.173953099999999</v>
      </c>
      <c r="F141" s="12">
        <v>39.647926900000002</v>
      </c>
      <c r="G141" s="12">
        <v>45.3620552</v>
      </c>
      <c r="H141" s="13">
        <f t="shared" si="4"/>
        <v>45.394645066666669</v>
      </c>
      <c r="I141" s="10"/>
      <c r="J141" s="12">
        <v>30.205863099999998</v>
      </c>
      <c r="K141" s="12">
        <v>43.512568999999999</v>
      </c>
      <c r="L141" s="12">
        <v>37.684515900000001</v>
      </c>
      <c r="M141" s="14">
        <f t="shared" si="5"/>
        <v>37.134316000000005</v>
      </c>
    </row>
    <row r="142" spans="1:13" x14ac:dyDescent="0.15">
      <c r="A142" s="9" t="s">
        <v>419</v>
      </c>
      <c r="B142" s="9" t="s">
        <v>420</v>
      </c>
      <c r="C142" s="9" t="s">
        <v>421</v>
      </c>
      <c r="D142" s="10"/>
      <c r="E142" s="12">
        <v>47.864286399999997</v>
      </c>
      <c r="F142" s="12">
        <v>45.654897699999999</v>
      </c>
      <c r="G142" s="12">
        <v>47.058651599999997</v>
      </c>
      <c r="H142" s="13">
        <f t="shared" si="4"/>
        <v>46.85927856666666</v>
      </c>
      <c r="I142" s="10"/>
      <c r="J142" s="12">
        <v>31.569251900000001</v>
      </c>
      <c r="K142" s="12">
        <v>44.870249600000001</v>
      </c>
      <c r="L142" s="12">
        <v>39.535268799999997</v>
      </c>
      <c r="M142" s="14">
        <f t="shared" si="5"/>
        <v>38.658256766666668</v>
      </c>
    </row>
    <row r="143" spans="1:13" x14ac:dyDescent="0.15">
      <c r="A143" s="9" t="s">
        <v>422</v>
      </c>
      <c r="B143" s="9" t="s">
        <v>423</v>
      </c>
      <c r="C143" s="9" t="s">
        <v>424</v>
      </c>
      <c r="D143" s="10"/>
      <c r="E143" s="12">
        <v>50.213991399999998</v>
      </c>
      <c r="F143" s="12">
        <v>42.407441200000001</v>
      </c>
      <c r="G143" s="12">
        <v>45.527851099999999</v>
      </c>
      <c r="H143" s="13">
        <f t="shared" si="4"/>
        <v>46.049761233333328</v>
      </c>
      <c r="I143" s="10"/>
      <c r="J143" s="12">
        <v>30.4894377</v>
      </c>
      <c r="K143" s="12">
        <v>45.769029600000003</v>
      </c>
      <c r="L143" s="12">
        <v>35.991283099999997</v>
      </c>
      <c r="M143" s="14">
        <f t="shared" si="5"/>
        <v>37.416583466666673</v>
      </c>
    </row>
    <row r="144" spans="1:13" x14ac:dyDescent="0.15">
      <c r="A144" s="9" t="s">
        <v>425</v>
      </c>
      <c r="B144" s="9" t="s">
        <v>426</v>
      </c>
      <c r="C144" s="9" t="s">
        <v>427</v>
      </c>
      <c r="D144" s="10"/>
      <c r="E144" s="12">
        <v>45.711078999999998</v>
      </c>
      <c r="F144" s="12">
        <v>39.044288999999999</v>
      </c>
      <c r="G144" s="12">
        <v>38.109527399999997</v>
      </c>
      <c r="H144" s="13">
        <f t="shared" si="4"/>
        <v>40.954965133333332</v>
      </c>
      <c r="I144" s="10"/>
      <c r="J144" s="12">
        <v>25.016171499999999</v>
      </c>
      <c r="K144" s="12">
        <v>35.3735663</v>
      </c>
      <c r="L144" s="12">
        <v>28.472355499999999</v>
      </c>
      <c r="M144" s="14">
        <f t="shared" si="5"/>
        <v>29.620697766666666</v>
      </c>
    </row>
    <row r="145" spans="1:13" x14ac:dyDescent="0.15">
      <c r="A145" s="9" t="s">
        <v>428</v>
      </c>
      <c r="B145" s="9" t="s">
        <v>429</v>
      </c>
      <c r="C145" s="9" t="s">
        <v>430</v>
      </c>
      <c r="D145" s="10"/>
      <c r="E145" s="12">
        <v>49.522826500000001</v>
      </c>
      <c r="F145" s="12">
        <v>40.360569900000002</v>
      </c>
      <c r="G145" s="12">
        <v>47.597693800000002</v>
      </c>
      <c r="H145" s="13">
        <f t="shared" si="4"/>
        <v>45.827030066666673</v>
      </c>
      <c r="I145" s="10"/>
      <c r="J145" s="12">
        <v>29.943123700000001</v>
      </c>
      <c r="K145" s="12">
        <v>42.842082300000001</v>
      </c>
      <c r="L145" s="12">
        <v>35.016430700000001</v>
      </c>
      <c r="M145" s="14">
        <f t="shared" si="5"/>
        <v>35.933878900000003</v>
      </c>
    </row>
    <row r="146" spans="1:13" x14ac:dyDescent="0.15">
      <c r="A146" s="9" t="s">
        <v>431</v>
      </c>
      <c r="B146" s="9" t="s">
        <v>432</v>
      </c>
      <c r="C146" s="9" t="s">
        <v>433</v>
      </c>
      <c r="D146" s="10"/>
      <c r="E146" s="12">
        <v>41.249318799999998</v>
      </c>
      <c r="F146" s="12">
        <v>30.2860169</v>
      </c>
      <c r="G146" s="12">
        <v>39.023626399999998</v>
      </c>
      <c r="H146" s="13">
        <f t="shared" si="4"/>
        <v>36.85298736666666</v>
      </c>
      <c r="I146" s="10"/>
      <c r="J146" s="12">
        <v>25.726760500000001</v>
      </c>
      <c r="K146" s="12">
        <v>36.671078899999998</v>
      </c>
      <c r="L146" s="12">
        <v>26.340076</v>
      </c>
      <c r="M146" s="14">
        <f t="shared" si="5"/>
        <v>29.579305133333332</v>
      </c>
    </row>
    <row r="147" spans="1:13" x14ac:dyDescent="0.15">
      <c r="A147" s="9" t="s">
        <v>434</v>
      </c>
      <c r="B147" s="9" t="s">
        <v>435</v>
      </c>
      <c r="C147" s="9" t="s">
        <v>436</v>
      </c>
      <c r="D147" s="10"/>
      <c r="E147" s="12">
        <v>32.8875259</v>
      </c>
      <c r="F147" s="12">
        <v>28.334714200000001</v>
      </c>
      <c r="G147" s="12">
        <v>29.1791664</v>
      </c>
      <c r="H147" s="13">
        <f t="shared" si="4"/>
        <v>30.133802166666669</v>
      </c>
      <c r="I147" s="10"/>
      <c r="J147" s="12">
        <v>17.858701100000001</v>
      </c>
      <c r="K147" s="12">
        <v>24.188357499999999</v>
      </c>
      <c r="L147" s="12">
        <v>18.277989300000002</v>
      </c>
      <c r="M147" s="14">
        <f t="shared" si="5"/>
        <v>20.1083493</v>
      </c>
    </row>
    <row r="148" spans="1:13" x14ac:dyDescent="0.15">
      <c r="A148" s="9" t="s">
        <v>437</v>
      </c>
      <c r="B148" s="9" t="s">
        <v>438</v>
      </c>
      <c r="C148" s="9" t="s">
        <v>439</v>
      </c>
      <c r="D148" s="10"/>
      <c r="E148" s="12">
        <v>46.315367700000003</v>
      </c>
      <c r="F148" s="12">
        <v>39.755099000000001</v>
      </c>
      <c r="G148" s="12">
        <v>45.814078500000001</v>
      </c>
      <c r="H148" s="13">
        <f t="shared" si="4"/>
        <v>43.961515066666664</v>
      </c>
      <c r="I148" s="10"/>
      <c r="J148" s="12">
        <v>31.555456400000001</v>
      </c>
      <c r="K148" s="12">
        <v>43.880337599999997</v>
      </c>
      <c r="L148" s="12">
        <v>37.967819599999999</v>
      </c>
      <c r="M148" s="14">
        <f t="shared" si="5"/>
        <v>37.801204533333333</v>
      </c>
    </row>
    <row r="149" spans="1:13" x14ac:dyDescent="0.15">
      <c r="A149" s="9" t="s">
        <v>440</v>
      </c>
      <c r="B149" s="9" t="s">
        <v>441</v>
      </c>
      <c r="C149" s="9" t="s">
        <v>442</v>
      </c>
      <c r="D149" s="10"/>
      <c r="E149" s="12">
        <v>44.6067094</v>
      </c>
      <c r="F149" s="12">
        <v>38.111573999999997</v>
      </c>
      <c r="G149" s="12">
        <v>42.155378499999998</v>
      </c>
      <c r="H149" s="13">
        <f t="shared" si="4"/>
        <v>41.62455396666666</v>
      </c>
      <c r="I149" s="10"/>
      <c r="J149" s="12">
        <v>28.473560299999999</v>
      </c>
      <c r="K149" s="12">
        <v>38.832542400000001</v>
      </c>
      <c r="L149" s="12">
        <v>33.529691900000003</v>
      </c>
      <c r="M149" s="14">
        <f t="shared" si="5"/>
        <v>33.611931533333333</v>
      </c>
    </row>
    <row r="150" spans="1:13" x14ac:dyDescent="0.15">
      <c r="A150" s="9" t="s">
        <v>443</v>
      </c>
      <c r="B150" s="9" t="s">
        <v>444</v>
      </c>
      <c r="C150" s="9" t="s">
        <v>445</v>
      </c>
      <c r="D150" s="10"/>
      <c r="E150" s="12">
        <v>44.367998100000001</v>
      </c>
      <c r="F150" s="12">
        <v>38.825680599999998</v>
      </c>
      <c r="G150" s="12">
        <v>41.6666667</v>
      </c>
      <c r="H150" s="13">
        <f t="shared" si="4"/>
        <v>41.620115133333336</v>
      </c>
      <c r="I150" s="10"/>
      <c r="J150" s="12">
        <v>27.2717481</v>
      </c>
      <c r="K150" s="12">
        <v>36.528080899999999</v>
      </c>
      <c r="L150" s="12">
        <v>27.134948699999999</v>
      </c>
      <c r="M150" s="14">
        <f t="shared" si="5"/>
        <v>30.311592566666665</v>
      </c>
    </row>
    <row r="151" spans="1:13" x14ac:dyDescent="0.15">
      <c r="A151" s="9" t="s">
        <v>446</v>
      </c>
      <c r="B151" s="9" t="s">
        <v>447</v>
      </c>
      <c r="C151" s="9" t="s">
        <v>448</v>
      </c>
      <c r="D151" s="10"/>
      <c r="E151" s="12">
        <v>47.401205400000002</v>
      </c>
      <c r="F151" s="12">
        <v>37.1219331</v>
      </c>
      <c r="G151" s="12">
        <v>41.158841199999998</v>
      </c>
      <c r="H151" s="13">
        <f t="shared" si="4"/>
        <v>41.893993233333333</v>
      </c>
      <c r="I151" s="10"/>
      <c r="J151" s="12">
        <v>24.878438200000002</v>
      </c>
      <c r="K151" s="12">
        <v>35.617977500000002</v>
      </c>
      <c r="L151" s="12">
        <v>29.925414400000001</v>
      </c>
      <c r="M151" s="14">
        <f t="shared" si="5"/>
        <v>30.140610033333331</v>
      </c>
    </row>
    <row r="152" spans="1:13" x14ac:dyDescent="0.15">
      <c r="A152" s="9" t="s">
        <v>449</v>
      </c>
      <c r="B152" s="9" t="s">
        <v>450</v>
      </c>
      <c r="C152" s="9" t="s">
        <v>451</v>
      </c>
      <c r="D152" s="10"/>
      <c r="E152" s="12">
        <v>47.0017815</v>
      </c>
      <c r="F152" s="12">
        <v>40.329540999999999</v>
      </c>
      <c r="G152" s="12">
        <v>40.707489799999998</v>
      </c>
      <c r="H152" s="13">
        <f t="shared" si="4"/>
        <v>42.679604099999999</v>
      </c>
      <c r="I152" s="10"/>
      <c r="J152" s="12">
        <v>31.0629375</v>
      </c>
      <c r="K152" s="12">
        <v>29.679826500000001</v>
      </c>
      <c r="L152" s="12">
        <v>33.690889900000002</v>
      </c>
      <c r="M152" s="14">
        <f t="shared" si="5"/>
        <v>31.477884633333332</v>
      </c>
    </row>
    <row r="153" spans="1:13" x14ac:dyDescent="0.15">
      <c r="A153" s="9" t="s">
        <v>452</v>
      </c>
      <c r="B153" s="9" t="s">
        <v>453</v>
      </c>
      <c r="C153" s="9" t="s">
        <v>454</v>
      </c>
      <c r="D153" s="10"/>
      <c r="E153" s="12">
        <v>45.670471999999997</v>
      </c>
      <c r="F153" s="12">
        <v>42.568258700000001</v>
      </c>
      <c r="G153" s="12">
        <v>44.744123600000002</v>
      </c>
      <c r="H153" s="13">
        <f t="shared" si="4"/>
        <v>44.327618099999995</v>
      </c>
      <c r="I153" s="10"/>
      <c r="J153" s="12">
        <v>30.284829899999998</v>
      </c>
      <c r="K153" s="12">
        <v>40.266880800000003</v>
      </c>
      <c r="L153" s="12">
        <v>33.809401399999999</v>
      </c>
      <c r="M153" s="14">
        <f t="shared" si="5"/>
        <v>34.787037366666667</v>
      </c>
    </row>
    <row r="154" spans="1:13" x14ac:dyDescent="0.15">
      <c r="A154" s="9" t="s">
        <v>455</v>
      </c>
      <c r="B154" s="9" t="s">
        <v>456</v>
      </c>
      <c r="C154" s="9" t="s">
        <v>457</v>
      </c>
      <c r="D154" s="10"/>
      <c r="E154" s="12">
        <v>48.723150400000002</v>
      </c>
      <c r="F154" s="12">
        <v>40.854924500000003</v>
      </c>
      <c r="G154" s="12">
        <v>42.501084300000002</v>
      </c>
      <c r="H154" s="13">
        <f t="shared" si="4"/>
        <v>44.0263864</v>
      </c>
      <c r="I154" s="10"/>
      <c r="J154" s="12">
        <v>30.0521691</v>
      </c>
      <c r="K154" s="12">
        <v>41.288965400000002</v>
      </c>
      <c r="L154" s="12">
        <v>34.458796800000002</v>
      </c>
      <c r="M154" s="14">
        <f t="shared" si="5"/>
        <v>35.266643766666668</v>
      </c>
    </row>
    <row r="155" spans="1:13" x14ac:dyDescent="0.15">
      <c r="A155" s="9" t="s">
        <v>458</v>
      </c>
      <c r="B155" s="9" t="s">
        <v>459</v>
      </c>
      <c r="C155" s="9" t="s">
        <v>460</v>
      </c>
      <c r="D155" s="10"/>
      <c r="E155" s="12">
        <v>46.755688399999997</v>
      </c>
      <c r="F155" s="12">
        <v>40.5652337</v>
      </c>
      <c r="G155" s="12">
        <v>43.9730183</v>
      </c>
      <c r="H155" s="13">
        <f t="shared" si="4"/>
        <v>43.764646800000001</v>
      </c>
      <c r="I155" s="10"/>
      <c r="J155" s="12">
        <v>31.026850499999998</v>
      </c>
      <c r="K155" s="12">
        <v>44.328583899999998</v>
      </c>
      <c r="L155" s="12">
        <v>33.514811799999997</v>
      </c>
      <c r="M155" s="14">
        <f t="shared" si="5"/>
        <v>36.290082066666663</v>
      </c>
    </row>
    <row r="156" spans="1:13" x14ac:dyDescent="0.15">
      <c r="A156" s="9" t="s">
        <v>461</v>
      </c>
      <c r="B156" s="9" t="s">
        <v>462</v>
      </c>
      <c r="C156" s="9" t="s">
        <v>463</v>
      </c>
      <c r="D156" s="10"/>
      <c r="E156" s="12">
        <v>47.013743099999999</v>
      </c>
      <c r="F156" s="12">
        <v>37.201467200000003</v>
      </c>
      <c r="G156" s="12">
        <v>42.406035699999997</v>
      </c>
      <c r="H156" s="13">
        <f t="shared" si="4"/>
        <v>42.207081999999993</v>
      </c>
      <c r="I156" s="10"/>
      <c r="J156" s="12">
        <v>30.806846</v>
      </c>
      <c r="K156" s="12">
        <v>42.129137</v>
      </c>
      <c r="L156" s="12">
        <v>36.953384800000002</v>
      </c>
      <c r="M156" s="14">
        <f t="shared" si="5"/>
        <v>36.62978926666667</v>
      </c>
    </row>
    <row r="157" spans="1:13" x14ac:dyDescent="0.15">
      <c r="A157" s="9" t="s">
        <v>464</v>
      </c>
      <c r="B157" s="9" t="s">
        <v>465</v>
      </c>
      <c r="C157" s="9" t="s">
        <v>466</v>
      </c>
      <c r="D157" s="10"/>
      <c r="E157" s="12">
        <v>38.358498400000002</v>
      </c>
      <c r="F157" s="12">
        <v>34.877786700000001</v>
      </c>
      <c r="G157" s="12">
        <v>42.790369800000001</v>
      </c>
      <c r="H157" s="13">
        <f t="shared" si="4"/>
        <v>38.675551633333335</v>
      </c>
      <c r="I157" s="10"/>
      <c r="J157" s="12">
        <v>25.1833825</v>
      </c>
      <c r="K157" s="12">
        <v>36.951691699999998</v>
      </c>
      <c r="L157" s="12">
        <v>29.7799011</v>
      </c>
      <c r="M157" s="14">
        <f t="shared" si="5"/>
        <v>30.638325099999999</v>
      </c>
    </row>
    <row r="158" spans="1:13" x14ac:dyDescent="0.15">
      <c r="A158" s="9" t="s">
        <v>467</v>
      </c>
      <c r="B158" s="9" t="s">
        <v>468</v>
      </c>
      <c r="C158" s="9" t="s">
        <v>469</v>
      </c>
      <c r="D158" s="10"/>
      <c r="E158" s="12">
        <v>48.423537000000003</v>
      </c>
      <c r="F158" s="12">
        <v>39.409707699999998</v>
      </c>
      <c r="G158" s="12">
        <v>46.003310599999999</v>
      </c>
      <c r="H158" s="13">
        <f t="shared" si="4"/>
        <v>44.612185099999998</v>
      </c>
      <c r="I158" s="10"/>
      <c r="J158" s="12">
        <v>33.135734900000003</v>
      </c>
      <c r="K158" s="12">
        <v>43.830928299999997</v>
      </c>
      <c r="L158" s="12">
        <v>34.886786000000001</v>
      </c>
      <c r="M158" s="14">
        <f t="shared" si="5"/>
        <v>37.284483066666667</v>
      </c>
    </row>
    <row r="159" spans="1:13" x14ac:dyDescent="0.15">
      <c r="A159" s="9" t="s">
        <v>470</v>
      </c>
      <c r="B159" s="9" t="s">
        <v>471</v>
      </c>
      <c r="C159" s="9" t="s">
        <v>472</v>
      </c>
      <c r="D159" s="10"/>
      <c r="E159" s="12">
        <v>46.065159199999997</v>
      </c>
      <c r="F159" s="12">
        <v>38.154250699999999</v>
      </c>
      <c r="G159" s="12">
        <v>48.326689799999997</v>
      </c>
      <c r="H159" s="13">
        <f t="shared" si="4"/>
        <v>44.182033233333328</v>
      </c>
      <c r="I159" s="10"/>
      <c r="J159" s="12">
        <v>31.595962499999999</v>
      </c>
      <c r="K159" s="12">
        <v>45.121639899999998</v>
      </c>
      <c r="L159" s="12">
        <v>36.0101437</v>
      </c>
      <c r="M159" s="14">
        <f t="shared" si="5"/>
        <v>37.575915366666671</v>
      </c>
    </row>
    <row r="160" spans="1:13" x14ac:dyDescent="0.15">
      <c r="A160" s="9" t="s">
        <v>473</v>
      </c>
      <c r="B160" s="9" t="s">
        <v>474</v>
      </c>
      <c r="C160" s="9" t="s">
        <v>475</v>
      </c>
      <c r="D160" s="10"/>
      <c r="E160" s="12">
        <v>47.433290499999998</v>
      </c>
      <c r="F160" s="12">
        <v>39.397342299999998</v>
      </c>
      <c r="G160" s="12">
        <v>45.084694900000002</v>
      </c>
      <c r="H160" s="13">
        <f t="shared" si="4"/>
        <v>43.97177589999999</v>
      </c>
      <c r="I160" s="10"/>
      <c r="J160" s="12">
        <v>30.242833399999999</v>
      </c>
      <c r="K160" s="12">
        <v>41.441742400000003</v>
      </c>
      <c r="L160" s="12">
        <v>34.011507899999998</v>
      </c>
      <c r="M160" s="14">
        <f t="shared" si="5"/>
        <v>35.232027899999999</v>
      </c>
    </row>
    <row r="161" spans="1:13" x14ac:dyDescent="0.15">
      <c r="A161" s="9" t="s">
        <v>476</v>
      </c>
      <c r="B161" s="9" t="s">
        <v>477</v>
      </c>
      <c r="C161" s="9" t="s">
        <v>478</v>
      </c>
      <c r="D161" s="10"/>
      <c r="E161" s="12">
        <v>50.835234700000001</v>
      </c>
      <c r="F161" s="12">
        <v>39.9668791</v>
      </c>
      <c r="G161" s="12">
        <v>45.494967099999997</v>
      </c>
      <c r="H161" s="13">
        <f t="shared" si="4"/>
        <v>45.432360299999999</v>
      </c>
      <c r="I161" s="10"/>
      <c r="J161" s="12">
        <v>31.930881800000002</v>
      </c>
      <c r="K161" s="12">
        <v>40.534630200000002</v>
      </c>
      <c r="L161" s="12">
        <v>34.046123700000003</v>
      </c>
      <c r="M161" s="14">
        <f t="shared" si="5"/>
        <v>35.503878566666664</v>
      </c>
    </row>
    <row r="162" spans="1:13" x14ac:dyDescent="0.15">
      <c r="A162" s="9" t="s">
        <v>479</v>
      </c>
      <c r="B162" s="9" t="s">
        <v>480</v>
      </c>
      <c r="C162" s="9" t="s">
        <v>481</v>
      </c>
      <c r="D162" s="10"/>
      <c r="E162" s="12">
        <v>47.141078100000001</v>
      </c>
      <c r="F162" s="12">
        <v>42.8506596</v>
      </c>
      <c r="G162" s="12">
        <v>42.738748600000001</v>
      </c>
      <c r="H162" s="13">
        <f t="shared" si="4"/>
        <v>44.243495433333329</v>
      </c>
      <c r="I162" s="10"/>
      <c r="J162" s="12">
        <v>29.823274399999999</v>
      </c>
      <c r="K162" s="12">
        <v>38.770606899999997</v>
      </c>
      <c r="L162" s="12">
        <v>37.653927799999998</v>
      </c>
      <c r="M162" s="14">
        <f t="shared" si="5"/>
        <v>35.415936366666664</v>
      </c>
    </row>
    <row r="163" spans="1:13" x14ac:dyDescent="0.15">
      <c r="A163" s="9" t="s">
        <v>482</v>
      </c>
      <c r="B163" s="9" t="s">
        <v>483</v>
      </c>
      <c r="C163" s="9" t="s">
        <v>484</v>
      </c>
      <c r="D163" s="10"/>
      <c r="E163" s="12">
        <v>47.944977799999997</v>
      </c>
      <c r="F163" s="12">
        <v>43.997547500000003</v>
      </c>
      <c r="G163" s="12">
        <v>43.663970999999997</v>
      </c>
      <c r="H163" s="13">
        <f t="shared" si="4"/>
        <v>45.202165433333334</v>
      </c>
      <c r="I163" s="10"/>
      <c r="J163" s="12">
        <v>29.703729299999999</v>
      </c>
      <c r="K163" s="12">
        <v>41.522823199999998</v>
      </c>
      <c r="L163" s="12">
        <v>34.2095859</v>
      </c>
      <c r="M163" s="14">
        <f t="shared" si="5"/>
        <v>35.145379466666668</v>
      </c>
    </row>
    <row r="164" spans="1:13" x14ac:dyDescent="0.15">
      <c r="A164" s="9" t="s">
        <v>485</v>
      </c>
      <c r="B164" s="9" t="s">
        <v>486</v>
      </c>
      <c r="C164" s="9" t="s">
        <v>487</v>
      </c>
      <c r="D164" s="10"/>
      <c r="E164" s="12">
        <v>49.208550500000001</v>
      </c>
      <c r="F164" s="12">
        <v>41.495707299999999</v>
      </c>
      <c r="G164" s="12">
        <v>43.281795199999998</v>
      </c>
      <c r="H164" s="13">
        <f t="shared" si="4"/>
        <v>44.662017666666664</v>
      </c>
      <c r="I164" s="10"/>
      <c r="J164" s="12">
        <v>29.790756500000001</v>
      </c>
      <c r="K164" s="12">
        <v>38.668284499999999</v>
      </c>
      <c r="L164" s="12">
        <v>31.187525999999998</v>
      </c>
      <c r="M164" s="14">
        <f t="shared" si="5"/>
        <v>33.215522333333332</v>
      </c>
    </row>
    <row r="165" spans="1:13" x14ac:dyDescent="0.15">
      <c r="A165" s="9" t="s">
        <v>488</v>
      </c>
      <c r="B165" s="9" t="s">
        <v>489</v>
      </c>
      <c r="C165" s="9" t="s">
        <v>490</v>
      </c>
      <c r="D165" s="10"/>
      <c r="E165" s="12">
        <v>48.633571199999999</v>
      </c>
      <c r="F165" s="12">
        <v>40.945146999999999</v>
      </c>
      <c r="G165" s="12">
        <v>43.911893499999998</v>
      </c>
      <c r="H165" s="13">
        <f t="shared" si="4"/>
        <v>44.496870566666665</v>
      </c>
      <c r="I165" s="10"/>
      <c r="J165" s="12">
        <v>28.519462699999998</v>
      </c>
      <c r="K165" s="12">
        <v>40.752453299999999</v>
      </c>
      <c r="L165" s="12">
        <v>32.212221700000001</v>
      </c>
      <c r="M165" s="14">
        <f t="shared" si="5"/>
        <v>33.828045899999999</v>
      </c>
    </row>
    <row r="166" spans="1:13" x14ac:dyDescent="0.15">
      <c r="A166" s="9" t="s">
        <v>491</v>
      </c>
      <c r="B166" s="9" t="s">
        <v>492</v>
      </c>
      <c r="C166" s="9" t="s">
        <v>493</v>
      </c>
      <c r="D166" s="10"/>
      <c r="E166" s="12">
        <v>44.542458099999998</v>
      </c>
      <c r="F166" s="12">
        <v>43.961871100000003</v>
      </c>
      <c r="G166" s="12">
        <v>44.088970099999997</v>
      </c>
      <c r="H166" s="13">
        <f t="shared" si="4"/>
        <v>44.197766433333335</v>
      </c>
      <c r="I166" s="10"/>
      <c r="J166" s="12">
        <v>27.956502</v>
      </c>
      <c r="K166" s="12">
        <v>36.940533700000003</v>
      </c>
      <c r="L166" s="12">
        <v>29.146215300000001</v>
      </c>
      <c r="M166" s="14">
        <f t="shared" si="5"/>
        <v>31.347750333333334</v>
      </c>
    </row>
    <row r="167" spans="1:13" x14ac:dyDescent="0.15">
      <c r="A167" s="9" t="s">
        <v>494</v>
      </c>
      <c r="B167" s="9" t="s">
        <v>495</v>
      </c>
      <c r="C167" s="9" t="s">
        <v>496</v>
      </c>
      <c r="D167" s="10"/>
      <c r="E167" s="12">
        <v>45.788687699999997</v>
      </c>
      <c r="F167" s="12">
        <v>41.378596000000002</v>
      </c>
      <c r="G167" s="12">
        <v>43.254904199999999</v>
      </c>
      <c r="H167" s="13">
        <f t="shared" si="4"/>
        <v>43.474062633333325</v>
      </c>
      <c r="I167" s="10"/>
      <c r="J167" s="12">
        <v>28.361190000000001</v>
      </c>
      <c r="K167" s="12">
        <v>40.572142800000002</v>
      </c>
      <c r="L167" s="12">
        <v>32.374491200000001</v>
      </c>
      <c r="M167" s="14">
        <f t="shared" si="5"/>
        <v>33.769274666666668</v>
      </c>
    </row>
    <row r="168" spans="1:13" x14ac:dyDescent="0.15">
      <c r="A168" s="9" t="s">
        <v>497</v>
      </c>
      <c r="B168" s="9" t="s">
        <v>498</v>
      </c>
      <c r="C168" s="9" t="s">
        <v>499</v>
      </c>
      <c r="D168" s="10"/>
      <c r="E168" s="12">
        <v>45.794086999999998</v>
      </c>
      <c r="F168" s="12">
        <v>38.647374800000001</v>
      </c>
      <c r="G168" s="12">
        <v>42.380709600000003</v>
      </c>
      <c r="H168" s="13">
        <f t="shared" si="4"/>
        <v>42.274057133333336</v>
      </c>
      <c r="I168" s="10"/>
      <c r="J168" s="12">
        <v>30.9638326</v>
      </c>
      <c r="K168" s="12">
        <v>43.006491099999998</v>
      </c>
      <c r="L168" s="12">
        <v>35.020268100000003</v>
      </c>
      <c r="M168" s="14">
        <f t="shared" si="5"/>
        <v>36.330197266666666</v>
      </c>
    </row>
    <row r="169" spans="1:13" x14ac:dyDescent="0.15">
      <c r="A169" s="9" t="s">
        <v>500</v>
      </c>
      <c r="B169" s="9" t="s">
        <v>501</v>
      </c>
      <c r="C169" s="9"/>
      <c r="D169" s="10"/>
      <c r="E169" s="13">
        <v>44.167873700000001</v>
      </c>
      <c r="F169" s="13">
        <v>40.962861099999998</v>
      </c>
      <c r="G169" s="13">
        <v>39.066327800000003</v>
      </c>
      <c r="H169" s="13">
        <f>AVERAGE(E169:G169)</f>
        <v>41.399020866666667</v>
      </c>
      <c r="I169" s="10"/>
      <c r="J169" s="13">
        <v>39.348409699999998</v>
      </c>
      <c r="K169" s="13">
        <v>43.776664799999999</v>
      </c>
      <c r="L169" s="13">
        <v>34.707316300000002</v>
      </c>
      <c r="M169" s="14">
        <f>AVERAGE(J169:L169)</f>
        <v>39.277463599999997</v>
      </c>
    </row>
  </sheetData>
  <mergeCells count="4">
    <mergeCell ref="A1:XFD1"/>
    <mergeCell ref="A2:XFD2"/>
    <mergeCell ref="E4:H4"/>
    <mergeCell ref="J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Pandey</dc:creator>
  <cp:lastModifiedBy>Smriti Pandey</cp:lastModifiedBy>
  <dcterms:created xsi:type="dcterms:W3CDTF">2023-07-17T11:22:59Z</dcterms:created>
  <dcterms:modified xsi:type="dcterms:W3CDTF">2023-07-17T11:23:30Z</dcterms:modified>
</cp:coreProperties>
</file>